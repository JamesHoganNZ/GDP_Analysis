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Projects\GDP_Analysis\Data_Raw\"/>
    </mc:Choice>
  </mc:AlternateContent>
  <xr:revisionPtr revIDLastSave="0" documentId="8_{408BBF6B-75AA-4F89-BEAB-6BD0CECFB54A}" xr6:coauthVersionLast="47" xr6:coauthVersionMax="47" xr10:uidLastSave="{00000000-0000-0000-0000-000000000000}"/>
  <bookViews>
    <workbookView xWindow="-108" yWindow="-108" windowWidth="23256" windowHeight="13896" xr2:uid="{0A99CC11-00F1-4546-AEA3-CFBCCD05CA4D}"/>
  </bookViews>
  <sheets>
    <sheet name="matri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2" l="1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C57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C56" i="2"/>
</calcChain>
</file>

<file path=xl/sharedStrings.xml><?xml version="1.0" encoding="utf-8"?>
<sst xmlns="http://schemas.openxmlformats.org/spreadsheetml/2006/main" count="163" uniqueCount="111">
  <si>
    <t>Series, Balance sheet items, Chain volume, Actual, ANZSIC06 industry groups (Annual-Mar)</t>
  </si>
  <si>
    <t>Net Capital Stock</t>
  </si>
  <si>
    <t>Finance Service Charge</t>
  </si>
  <si>
    <t>Agriculture</t>
  </si>
  <si>
    <t>Forestry and Logging</t>
  </si>
  <si>
    <t>Fishing, Aquaculture and Agriculture, Forestry and Fishing Support Services</t>
  </si>
  <si>
    <t>Mining</t>
  </si>
  <si>
    <t>Food, Beverage and Tobacco Product Manufacturing</t>
  </si>
  <si>
    <t>Textile, Leather, Clothing and Footwear Manufacturing</t>
  </si>
  <si>
    <t>Wood and Paper Products Manufacturing</t>
  </si>
  <si>
    <t>Printing</t>
  </si>
  <si>
    <t>Petroleum, Chemical, Polymer and Rubber Product Manufacturing</t>
  </si>
  <si>
    <t>Non-Metallic Mineral Product Manufacturing</t>
  </si>
  <si>
    <t>Metal Product Manufacturing</t>
  </si>
  <si>
    <t>Transport Equipment, Machinery and Equipment Manufacturing</t>
  </si>
  <si>
    <t>Furniture and Other Manufacturing</t>
  </si>
  <si>
    <t>Electricity, Gas, Water and Waste Services</t>
  </si>
  <si>
    <t>Construction</t>
  </si>
  <si>
    <t>Wholesale Trade</t>
  </si>
  <si>
    <t>Retail Trade</t>
  </si>
  <si>
    <t>Accommodation and Food Services</t>
  </si>
  <si>
    <t>Transport, Postal and Warehousing</t>
  </si>
  <si>
    <t>Information Media and Telecommunications</t>
  </si>
  <si>
    <t>Financial and Insurance Services</t>
  </si>
  <si>
    <t>Rental, Hiring and Real Estate Services</t>
  </si>
  <si>
    <t>Owner-Occupied Property Operation (National Accounts Only)</t>
  </si>
  <si>
    <t>Professional, Scientific and Technical Services</t>
  </si>
  <si>
    <t>Administrative and Support Services</t>
  </si>
  <si>
    <t>Local Government Administration</t>
  </si>
  <si>
    <t>Central Government Administration, Defence and Public Safety</t>
  </si>
  <si>
    <t>Education and Training</t>
  </si>
  <si>
    <t>Health Care and Social Assistance</t>
  </si>
  <si>
    <t>Arts and Recreation Services</t>
  </si>
  <si>
    <t>Other Services</t>
  </si>
  <si>
    <t>Total All Industries</t>
  </si>
  <si>
    <t>1972</t>
  </si>
  <si>
    <t>..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</si>
  <si>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</si>
  <si>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</si>
  <si>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</si>
  <si>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</si>
  <si>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</si>
  <si>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</si>
  <si>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</si>
  <si>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</si>
  <si>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</si>
  <si>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</si>
  <si>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</si>
  <si>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</si>
  <si>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</si>
  <si>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</si>
  <si>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</si>
  <si>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</si>
  <si>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</si>
  <si>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</si>
  <si>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</si>
  <si>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</si>
  <si>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</si>
  <si>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</si>
  <si>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</si>
  <si>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</si>
  <si>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</si>
  <si>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</si>
  <si>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</si>
  <si>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</si>
  <si>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</si>
  <si>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</si>
  <si>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</si>
  <si>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</si>
  <si>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</si>
  <si>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</si>
  <si>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</si>
  <si>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</si>
  <si>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</si>
  <si>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</si>
  <si>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</si>
  <si>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</si>
  <si>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</si>
  <si>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</si>
  <si>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</si>
  <si>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</si>
  <si>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</si>
  <si>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</si>
  <si>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</si>
  <si>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</si>
  <si>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</si>
  <si>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</si>
  <si>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</si>
  <si>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</si>
  <si>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r>
      <t>Table information:</t>
    </r>
    <r>
      <rPr>
        <sz val="11"/>
        <color theme="1"/>
        <rFont val="Aptos Narrow"/>
        <family val="2"/>
        <scheme val="minor"/>
      </rPr>
      <t xml:space="preserve"> </t>
    </r>
  </si>
  <si>
    <t>Units:</t>
  </si>
  <si>
    <t>$, Magnitude = Millions</t>
  </si>
  <si>
    <t>Footnotes:</t>
  </si>
  <si>
    <t>Chain-volume series expressed in 2009/10 prices.</t>
  </si>
  <si>
    <t>Symbols:</t>
  </si>
  <si>
    <t>.. figure not available</t>
  </si>
  <si>
    <t>C: Confidential</t>
  </si>
  <si>
    <t>E: Early Estimate</t>
  </si>
  <si>
    <t>P: Provisional</t>
  </si>
  <si>
    <t>R: Revised</t>
  </si>
  <si>
    <t>S: Suppressed</t>
  </si>
  <si>
    <t>Status flags are not displayed</t>
  </si>
  <si>
    <t>Table reference:</t>
  </si>
  <si>
    <t>SNE069AA</t>
  </si>
  <si>
    <t>Last updated:</t>
  </si>
  <si>
    <t>15 November 2024 10:45am</t>
  </si>
  <si>
    <t>Source: Statistics New Zealand</t>
  </si>
  <si>
    <t>Contact: Information Centre</t>
  </si>
  <si>
    <t>Telephone: 0508 525 525</t>
  </si>
  <si>
    <t>Email:info@stats.govt.nz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</si>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</sst>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49" fontId="16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3" fontId="0" fillId="0" borderId="0" xfId="0" applyNumberFormat="1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tats.govt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B650-A2BF-4ABB-80B1-B69B73994C75}">
  <dimension ref="A1:AH86"/>
  <sheetViews>
    <sheetView tabSelected="1" topLeftCell="AB41" workbookViewId="0">
      <selection activeCell="C57" sqref="C57:AH57"/>
    </sheetView>
  </sheetViews>
  <sheetFormatPr defaultRowHeight="12.75" x14ac:dyDescent="0.3"/>
  <cols>
    <col min="1" max="1" width="5" bestFit="1" customWidth="1"/>
    <col min="2" max="2" width="21" bestFit="1" customWidth="1"/>
    <col min="3" max="3" width="12" bestFit="1" customWidth="1"/>
    <col min="4" max="4" width="18.21875" bestFit="1" customWidth="1"/>
    <col min="5" max="5" width="35.5546875" bestFit="1" customWidth="1"/>
    <col min="6" max="6" width="6.5546875" bestFit="1" customWidth="1"/>
    <col min="7" max="9" width="35.5546875" bestFit="1" customWidth="1"/>
    <col min="10" max="10" width="7.5546875" bestFit="1" customWidth="1"/>
    <col min="11" max="12" width="35.5546875" bestFit="1" customWidth="1"/>
    <col min="13" max="13" width="25.77734375" bestFit="1" customWidth="1"/>
    <col min="14" max="14" width="35.5546875" bestFit="1" customWidth="1"/>
    <col min="15" max="15" width="30.6640625" bestFit="1" customWidth="1"/>
    <col min="16" max="16" width="35.5546875" bestFit="1" customWidth="1"/>
    <col min="17" max="17" width="12" bestFit="1" customWidth="1"/>
    <col min="18" max="18" width="14.88671875" bestFit="1" customWidth="1"/>
    <col min="19" max="19" width="11" bestFit="1" customWidth="1"/>
    <col min="20" max="20" width="31" bestFit="1" customWidth="1"/>
    <col min="21" max="21" width="30.6640625" bestFit="1" customWidth="1"/>
    <col min="22" max="22" width="35.5546875" bestFit="1" customWidth="1"/>
    <col min="23" max="23" width="29.33203125" bestFit="1" customWidth="1"/>
    <col min="24" max="24" width="34" bestFit="1" customWidth="1"/>
    <col min="25" max="26" width="35.5546875" bestFit="1" customWidth="1"/>
    <col min="27" max="27" width="32.109375" bestFit="1" customWidth="1"/>
    <col min="28" max="28" width="29.6640625" bestFit="1" customWidth="1"/>
    <col min="29" max="29" width="35.5546875" bestFit="1" customWidth="1"/>
    <col min="30" max="30" width="20.44140625" bestFit="1" customWidth="1"/>
    <col min="31" max="31" width="30.21875" bestFit="1" customWidth="1"/>
    <col min="32" max="32" width="25.33203125" bestFit="1" customWidth="1"/>
    <col min="33" max="33" width="13.21875" bestFit="1" customWidth="1"/>
    <col min="34" max="34" width="16.6640625" bestFit="1" customWidth="1"/>
  </cols>
  <sheetData>
    <row r="1" spans="1:34" ht="15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ht="14.4" customHeight="1" x14ac:dyDescent="0.3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4" ht="28.8" x14ac:dyDescent="0.3">
      <c r="A3" s="5"/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</row>
    <row r="4" spans="1:34" ht="14.4" x14ac:dyDescent="0.3">
      <c r="A4" s="2" t="s">
        <v>35</v>
      </c>
      <c r="B4" t="s">
        <v>36</v>
      </c>
      <c r="C4" s="3">
        <v>8997</v>
      </c>
      <c r="D4">
        <v>589</v>
      </c>
      <c r="E4">
        <v>613</v>
      </c>
      <c r="F4" s="3">
        <v>1524</v>
      </c>
      <c r="G4" s="3">
        <v>3876</v>
      </c>
      <c r="H4" s="3">
        <v>1250</v>
      </c>
      <c r="I4" s="3">
        <v>1672</v>
      </c>
      <c r="J4">
        <v>804</v>
      </c>
      <c r="K4" s="3">
        <v>2215</v>
      </c>
      <c r="L4">
        <v>713</v>
      </c>
      <c r="M4" s="3">
        <v>1743</v>
      </c>
      <c r="N4" s="3">
        <v>1177</v>
      </c>
      <c r="O4">
        <v>458</v>
      </c>
      <c r="P4" s="3">
        <v>14068</v>
      </c>
      <c r="Q4" s="3">
        <v>2645</v>
      </c>
      <c r="R4" s="3">
        <v>4611</v>
      </c>
      <c r="S4" s="3">
        <v>2018</v>
      </c>
      <c r="T4" s="3">
        <v>1255</v>
      </c>
      <c r="U4" s="3">
        <v>23153</v>
      </c>
      <c r="V4" s="3">
        <v>2818</v>
      </c>
      <c r="W4" s="3">
        <v>1501</v>
      </c>
      <c r="X4" s="3">
        <v>40113</v>
      </c>
      <c r="Y4" s="3">
        <v>61930</v>
      </c>
      <c r="Z4" s="3">
        <v>1407</v>
      </c>
      <c r="AA4">
        <v>429</v>
      </c>
      <c r="AB4">
        <v>824</v>
      </c>
      <c r="AC4" s="3">
        <v>3638</v>
      </c>
      <c r="AD4" s="3">
        <v>5095</v>
      </c>
      <c r="AE4" s="3">
        <v>4296</v>
      </c>
      <c r="AF4" s="3">
        <v>1478</v>
      </c>
      <c r="AG4" s="3">
        <v>1376</v>
      </c>
      <c r="AH4" s="3">
        <v>195277</v>
      </c>
    </row>
    <row r="5" spans="1:34" ht="14.4" x14ac:dyDescent="0.3">
      <c r="A5" s="2" t="s">
        <v>37</v>
      </c>
      <c r="B5" t="s">
        <v>36</v>
      </c>
      <c r="C5" s="3">
        <v>9586</v>
      </c>
      <c r="D5">
        <v>616</v>
      </c>
      <c r="E5">
        <v>642</v>
      </c>
      <c r="F5" s="3">
        <v>1606</v>
      </c>
      <c r="G5" s="3">
        <v>4122</v>
      </c>
      <c r="H5" s="3">
        <v>1244</v>
      </c>
      <c r="I5" s="3">
        <v>1905</v>
      </c>
      <c r="J5">
        <v>930</v>
      </c>
      <c r="K5" s="3">
        <v>2308</v>
      </c>
      <c r="L5">
        <v>715</v>
      </c>
      <c r="M5" s="3">
        <v>1833</v>
      </c>
      <c r="N5" s="3">
        <v>1309</v>
      </c>
      <c r="O5">
        <v>461</v>
      </c>
      <c r="P5" s="3">
        <v>14757</v>
      </c>
      <c r="Q5" s="3">
        <v>2925</v>
      </c>
      <c r="R5" s="3">
        <v>4803</v>
      </c>
      <c r="S5" s="3">
        <v>2212</v>
      </c>
      <c r="T5" s="3">
        <v>1418</v>
      </c>
      <c r="U5" s="3">
        <v>24502</v>
      </c>
      <c r="V5" s="3">
        <v>2930</v>
      </c>
      <c r="W5" s="3">
        <v>1683</v>
      </c>
      <c r="X5" s="3">
        <v>41647</v>
      </c>
      <c r="Y5" s="3">
        <v>66063</v>
      </c>
      <c r="Z5" s="3">
        <v>1493</v>
      </c>
      <c r="AA5">
        <v>455</v>
      </c>
      <c r="AB5">
        <v>898</v>
      </c>
      <c r="AC5" s="3">
        <v>3617</v>
      </c>
      <c r="AD5" s="3">
        <v>5680</v>
      </c>
      <c r="AE5" s="3">
        <v>4534</v>
      </c>
      <c r="AF5" s="3">
        <v>1589</v>
      </c>
      <c r="AG5" s="3">
        <v>1486</v>
      </c>
      <c r="AH5" s="3">
        <v>206940</v>
      </c>
    </row>
    <row r="6" spans="1:34" ht="14.4" x14ac:dyDescent="0.3">
      <c r="A6" s="2" t="s">
        <v>38</v>
      </c>
      <c r="B6" t="s">
        <v>36</v>
      </c>
      <c r="C6" s="3">
        <v>10086</v>
      </c>
      <c r="D6">
        <v>643</v>
      </c>
      <c r="E6">
        <v>677</v>
      </c>
      <c r="F6" s="3">
        <v>1590</v>
      </c>
      <c r="G6" s="3">
        <v>4380</v>
      </c>
      <c r="H6" s="3">
        <v>1254</v>
      </c>
      <c r="I6" s="3">
        <v>2133</v>
      </c>
      <c r="J6" s="3">
        <v>1049</v>
      </c>
      <c r="K6" s="3">
        <v>2447</v>
      </c>
      <c r="L6">
        <v>744</v>
      </c>
      <c r="M6" s="3">
        <v>1808</v>
      </c>
      <c r="N6" s="3">
        <v>1474</v>
      </c>
      <c r="O6">
        <v>472</v>
      </c>
      <c r="P6" s="3">
        <v>15232</v>
      </c>
      <c r="Q6" s="3">
        <v>3142</v>
      </c>
      <c r="R6" s="3">
        <v>5008</v>
      </c>
      <c r="S6" s="3">
        <v>2414</v>
      </c>
      <c r="T6" s="3">
        <v>1605</v>
      </c>
      <c r="U6" s="3">
        <v>25790</v>
      </c>
      <c r="V6" s="3">
        <v>3111</v>
      </c>
      <c r="W6" s="3">
        <v>1901</v>
      </c>
      <c r="X6" s="3">
        <v>43784</v>
      </c>
      <c r="Y6" s="3">
        <v>71657</v>
      </c>
      <c r="Z6" s="3">
        <v>1581</v>
      </c>
      <c r="AA6">
        <v>482</v>
      </c>
      <c r="AB6">
        <v>903</v>
      </c>
      <c r="AC6" s="3">
        <v>3710</v>
      </c>
      <c r="AD6" s="3">
        <v>6299</v>
      </c>
      <c r="AE6" s="3">
        <v>4792</v>
      </c>
      <c r="AF6" s="3">
        <v>1703</v>
      </c>
      <c r="AG6" s="3">
        <v>1610</v>
      </c>
      <c r="AH6" s="3">
        <v>219830</v>
      </c>
    </row>
    <row r="7" spans="1:34" ht="14.4" x14ac:dyDescent="0.3">
      <c r="A7" s="2" t="s">
        <v>39</v>
      </c>
      <c r="B7" t="s">
        <v>36</v>
      </c>
      <c r="C7" s="3">
        <v>10188</v>
      </c>
      <c r="D7">
        <v>676</v>
      </c>
      <c r="E7">
        <v>691</v>
      </c>
      <c r="F7" s="3">
        <v>1707</v>
      </c>
      <c r="G7" s="3">
        <v>4823</v>
      </c>
      <c r="H7" s="3">
        <v>1303</v>
      </c>
      <c r="I7" s="3">
        <v>2343</v>
      </c>
      <c r="J7" s="3">
        <v>1141</v>
      </c>
      <c r="K7" s="3">
        <v>2559</v>
      </c>
      <c r="L7">
        <v>797</v>
      </c>
      <c r="M7" s="3">
        <v>1807</v>
      </c>
      <c r="N7" s="3">
        <v>1618</v>
      </c>
      <c r="O7">
        <v>484</v>
      </c>
      <c r="P7" s="3">
        <v>15899</v>
      </c>
      <c r="Q7" s="3">
        <v>3307</v>
      </c>
      <c r="R7" s="3">
        <v>5150</v>
      </c>
      <c r="S7" s="3">
        <v>2572</v>
      </c>
      <c r="T7" s="3">
        <v>1764</v>
      </c>
      <c r="U7" s="3">
        <v>27215</v>
      </c>
      <c r="V7" s="3">
        <v>3339</v>
      </c>
      <c r="W7" s="3">
        <v>2135</v>
      </c>
      <c r="X7" s="3">
        <v>46589</v>
      </c>
      <c r="Y7" s="3">
        <v>77451</v>
      </c>
      <c r="Z7" s="3">
        <v>1663</v>
      </c>
      <c r="AA7">
        <v>503</v>
      </c>
      <c r="AB7">
        <v>955</v>
      </c>
      <c r="AC7" s="3">
        <v>3787</v>
      </c>
      <c r="AD7" s="3">
        <v>7051</v>
      </c>
      <c r="AE7" s="3">
        <v>5073</v>
      </c>
      <c r="AF7" s="3">
        <v>1836</v>
      </c>
      <c r="AG7" s="3">
        <v>1732</v>
      </c>
      <c r="AH7" s="3">
        <v>233774</v>
      </c>
    </row>
    <row r="8" spans="1:34" ht="14.4" x14ac:dyDescent="0.3">
      <c r="A8" s="2" t="s">
        <v>40</v>
      </c>
      <c r="B8" t="s">
        <v>36</v>
      </c>
      <c r="C8" s="3">
        <v>10306</v>
      </c>
      <c r="D8">
        <v>703</v>
      </c>
      <c r="E8">
        <v>725</v>
      </c>
      <c r="F8" s="3">
        <v>2491</v>
      </c>
      <c r="G8" s="3">
        <v>5078</v>
      </c>
      <c r="H8" s="3">
        <v>1317</v>
      </c>
      <c r="I8" s="3">
        <v>2380</v>
      </c>
      <c r="J8" s="3">
        <v>1132</v>
      </c>
      <c r="K8" s="3">
        <v>2633</v>
      </c>
      <c r="L8">
        <v>822</v>
      </c>
      <c r="M8" s="3">
        <v>1765</v>
      </c>
      <c r="N8" s="3">
        <v>1705</v>
      </c>
      <c r="O8">
        <v>483</v>
      </c>
      <c r="P8" s="3">
        <v>16740</v>
      </c>
      <c r="Q8" s="3">
        <v>3346</v>
      </c>
      <c r="R8" s="3">
        <v>5141</v>
      </c>
      <c r="S8" s="3">
        <v>2606</v>
      </c>
      <c r="T8" s="3">
        <v>1829</v>
      </c>
      <c r="U8" s="3">
        <v>28009</v>
      </c>
      <c r="V8" s="3">
        <v>3543</v>
      </c>
      <c r="W8" s="3">
        <v>2590</v>
      </c>
      <c r="X8" s="3">
        <v>48234</v>
      </c>
      <c r="Y8" s="3">
        <v>82046</v>
      </c>
      <c r="Z8" s="3">
        <v>1718</v>
      </c>
      <c r="AA8">
        <v>516</v>
      </c>
      <c r="AB8">
        <v>940</v>
      </c>
      <c r="AC8" s="3">
        <v>3901</v>
      </c>
      <c r="AD8" s="3">
        <v>7870</v>
      </c>
      <c r="AE8" s="3">
        <v>5362</v>
      </c>
      <c r="AF8" s="3">
        <v>1970</v>
      </c>
      <c r="AG8" s="3">
        <v>1789</v>
      </c>
      <c r="AH8" s="3">
        <v>245055</v>
      </c>
    </row>
    <row r="9" spans="1:34" ht="14.4" x14ac:dyDescent="0.3">
      <c r="A9" s="2" t="s">
        <v>41</v>
      </c>
      <c r="B9" t="s">
        <v>36</v>
      </c>
      <c r="C9" s="3">
        <v>10561</v>
      </c>
      <c r="D9">
        <v>712</v>
      </c>
      <c r="E9">
        <v>736</v>
      </c>
      <c r="F9" s="3">
        <v>3286</v>
      </c>
      <c r="G9" s="3">
        <v>5299</v>
      </c>
      <c r="H9" s="3">
        <v>1295</v>
      </c>
      <c r="I9" s="3">
        <v>2455</v>
      </c>
      <c r="J9" s="3">
        <v>1155</v>
      </c>
      <c r="K9" s="3">
        <v>2716</v>
      </c>
      <c r="L9">
        <v>882</v>
      </c>
      <c r="M9" s="3">
        <v>1819</v>
      </c>
      <c r="N9" s="3">
        <v>1763</v>
      </c>
      <c r="O9">
        <v>485</v>
      </c>
      <c r="P9" s="3">
        <v>17325</v>
      </c>
      <c r="Q9" s="3">
        <v>3366</v>
      </c>
      <c r="R9" s="3">
        <v>5064</v>
      </c>
      <c r="S9" s="3">
        <v>2597</v>
      </c>
      <c r="T9" s="3">
        <v>1871</v>
      </c>
      <c r="U9" s="3">
        <v>28371</v>
      </c>
      <c r="V9" s="3">
        <v>3607</v>
      </c>
      <c r="W9" s="3">
        <v>2708</v>
      </c>
      <c r="X9" s="3">
        <v>49857</v>
      </c>
      <c r="Y9" s="3">
        <v>86534</v>
      </c>
      <c r="Z9" s="3">
        <v>1731</v>
      </c>
      <c r="AA9">
        <v>516</v>
      </c>
      <c r="AB9">
        <v>955</v>
      </c>
      <c r="AC9" s="3">
        <v>3898</v>
      </c>
      <c r="AD9" s="3">
        <v>8530</v>
      </c>
      <c r="AE9" s="3">
        <v>5634</v>
      </c>
      <c r="AF9" s="3">
        <v>2015</v>
      </c>
      <c r="AG9" s="3">
        <v>1818</v>
      </c>
      <c r="AH9" s="3">
        <v>253960</v>
      </c>
    </row>
    <row r="10" spans="1:34" ht="14.4" x14ac:dyDescent="0.3">
      <c r="A10" s="2" t="s">
        <v>42</v>
      </c>
      <c r="B10" t="s">
        <v>36</v>
      </c>
      <c r="C10" s="3">
        <v>10557</v>
      </c>
      <c r="D10">
        <v>730</v>
      </c>
      <c r="E10">
        <v>766</v>
      </c>
      <c r="F10" s="3">
        <v>4011</v>
      </c>
      <c r="G10" s="3">
        <v>5324</v>
      </c>
      <c r="H10" s="3">
        <v>1296</v>
      </c>
      <c r="I10" s="3">
        <v>2415</v>
      </c>
      <c r="J10" s="3">
        <v>1105</v>
      </c>
      <c r="K10" s="3">
        <v>2713</v>
      </c>
      <c r="L10">
        <v>844</v>
      </c>
      <c r="M10" s="3">
        <v>1798</v>
      </c>
      <c r="N10" s="3">
        <v>1820</v>
      </c>
      <c r="O10">
        <v>490</v>
      </c>
      <c r="P10" s="3">
        <v>17888</v>
      </c>
      <c r="Q10" s="3">
        <v>3367</v>
      </c>
      <c r="R10" s="3">
        <v>4937</v>
      </c>
      <c r="S10" s="3">
        <v>2546</v>
      </c>
      <c r="T10" s="3">
        <v>1879</v>
      </c>
      <c r="U10" s="3">
        <v>28773</v>
      </c>
      <c r="V10" s="3">
        <v>3639</v>
      </c>
      <c r="W10" s="3">
        <v>2837</v>
      </c>
      <c r="X10" s="3">
        <v>50844</v>
      </c>
      <c r="Y10" s="3">
        <v>88905</v>
      </c>
      <c r="Z10" s="3">
        <v>1757</v>
      </c>
      <c r="AA10">
        <v>515</v>
      </c>
      <c r="AB10">
        <v>950</v>
      </c>
      <c r="AC10" s="3">
        <v>3953</v>
      </c>
      <c r="AD10" s="3">
        <v>9108</v>
      </c>
      <c r="AE10" s="3">
        <v>5853</v>
      </c>
      <c r="AF10" s="3">
        <v>2058</v>
      </c>
      <c r="AG10" s="3">
        <v>1836</v>
      </c>
      <c r="AH10" s="3">
        <v>259423</v>
      </c>
    </row>
    <row r="11" spans="1:34" ht="14.4" x14ac:dyDescent="0.3">
      <c r="A11" s="2" t="s">
        <v>43</v>
      </c>
      <c r="B11" t="s">
        <v>36</v>
      </c>
      <c r="C11" s="3">
        <v>10724</v>
      </c>
      <c r="D11">
        <v>742</v>
      </c>
      <c r="E11">
        <v>765</v>
      </c>
      <c r="F11" s="3">
        <v>4259</v>
      </c>
      <c r="G11" s="3">
        <v>5454</v>
      </c>
      <c r="H11" s="3">
        <v>1303</v>
      </c>
      <c r="I11" s="3">
        <v>2368</v>
      </c>
      <c r="J11" s="3">
        <v>1085</v>
      </c>
      <c r="K11" s="3">
        <v>2766</v>
      </c>
      <c r="L11">
        <v>815</v>
      </c>
      <c r="M11" s="3">
        <v>1756</v>
      </c>
      <c r="N11" s="3">
        <v>1810</v>
      </c>
      <c r="O11">
        <v>476</v>
      </c>
      <c r="P11" s="3">
        <v>18333</v>
      </c>
      <c r="Q11" s="3">
        <v>3280</v>
      </c>
      <c r="R11" s="3">
        <v>4883</v>
      </c>
      <c r="S11" s="3">
        <v>2537</v>
      </c>
      <c r="T11" s="3">
        <v>1902</v>
      </c>
      <c r="U11" s="3">
        <v>29276</v>
      </c>
      <c r="V11" s="3">
        <v>3671</v>
      </c>
      <c r="W11" s="3">
        <v>2971</v>
      </c>
      <c r="X11" s="3">
        <v>51541</v>
      </c>
      <c r="Y11" s="3">
        <v>91014</v>
      </c>
      <c r="Z11" s="3">
        <v>1829</v>
      </c>
      <c r="AA11">
        <v>516</v>
      </c>
      <c r="AB11" s="3">
        <v>1010</v>
      </c>
      <c r="AC11" s="3">
        <v>3986</v>
      </c>
      <c r="AD11" s="3">
        <v>9586</v>
      </c>
      <c r="AE11" s="3">
        <v>6083</v>
      </c>
      <c r="AF11" s="3">
        <v>2089</v>
      </c>
      <c r="AG11" s="3">
        <v>1863</v>
      </c>
      <c r="AH11" s="3">
        <v>264230</v>
      </c>
    </row>
    <row r="12" spans="1:34" ht="14.4" x14ac:dyDescent="0.3">
      <c r="A12" s="2" t="s">
        <v>44</v>
      </c>
      <c r="B12" t="s">
        <v>36</v>
      </c>
      <c r="C12" s="3">
        <v>11017</v>
      </c>
      <c r="D12">
        <v>739</v>
      </c>
      <c r="E12">
        <v>796</v>
      </c>
      <c r="F12" s="3">
        <v>4265</v>
      </c>
      <c r="G12" s="3">
        <v>5668</v>
      </c>
      <c r="H12" s="3">
        <v>1294</v>
      </c>
      <c r="I12" s="3">
        <v>2307</v>
      </c>
      <c r="J12" s="3">
        <v>1058</v>
      </c>
      <c r="K12" s="3">
        <v>2779</v>
      </c>
      <c r="L12">
        <v>787</v>
      </c>
      <c r="M12" s="3">
        <v>1715</v>
      </c>
      <c r="N12" s="3">
        <v>1836</v>
      </c>
      <c r="O12">
        <v>464</v>
      </c>
      <c r="P12" s="3">
        <v>18603</v>
      </c>
      <c r="Q12" s="3">
        <v>3284</v>
      </c>
      <c r="R12" s="3">
        <v>4987</v>
      </c>
      <c r="S12" s="3">
        <v>2612</v>
      </c>
      <c r="T12" s="3">
        <v>1961</v>
      </c>
      <c r="U12" s="3">
        <v>28773</v>
      </c>
      <c r="V12" s="3">
        <v>3611</v>
      </c>
      <c r="W12" s="3">
        <v>3084</v>
      </c>
      <c r="X12" s="3">
        <v>51786</v>
      </c>
      <c r="Y12" s="3">
        <v>92547</v>
      </c>
      <c r="Z12" s="3">
        <v>1893</v>
      </c>
      <c r="AA12">
        <v>515</v>
      </c>
      <c r="AB12" s="3">
        <v>1104</v>
      </c>
      <c r="AC12" s="3">
        <v>4081</v>
      </c>
      <c r="AD12" s="3">
        <v>9924</v>
      </c>
      <c r="AE12" s="3">
        <v>6306</v>
      </c>
      <c r="AF12" s="3">
        <v>2127</v>
      </c>
      <c r="AG12" s="3">
        <v>1914</v>
      </c>
      <c r="AH12" s="3">
        <v>267251</v>
      </c>
    </row>
    <row r="13" spans="1:34" ht="14.4" x14ac:dyDescent="0.3">
      <c r="A13" s="2" t="s">
        <v>45</v>
      </c>
      <c r="B13" t="s">
        <v>36</v>
      </c>
      <c r="C13" s="3">
        <v>11351</v>
      </c>
      <c r="D13">
        <v>750</v>
      </c>
      <c r="E13">
        <v>788</v>
      </c>
      <c r="F13" s="3">
        <v>4263</v>
      </c>
      <c r="G13" s="3">
        <v>6119</v>
      </c>
      <c r="H13" s="3">
        <v>1252</v>
      </c>
      <c r="I13" s="3">
        <v>2264</v>
      </c>
      <c r="J13" s="3">
        <v>1037</v>
      </c>
      <c r="K13" s="3">
        <v>2854</v>
      </c>
      <c r="L13">
        <v>763</v>
      </c>
      <c r="M13" s="3">
        <v>1688</v>
      </c>
      <c r="N13" s="3">
        <v>1840</v>
      </c>
      <c r="O13">
        <v>452</v>
      </c>
      <c r="P13" s="3">
        <v>18846</v>
      </c>
      <c r="Q13" s="3">
        <v>3359</v>
      </c>
      <c r="R13" s="3">
        <v>5047</v>
      </c>
      <c r="S13" s="3">
        <v>2667</v>
      </c>
      <c r="T13" s="3">
        <v>2004</v>
      </c>
      <c r="U13" s="3">
        <v>28349</v>
      </c>
      <c r="V13" s="3">
        <v>3631</v>
      </c>
      <c r="W13" s="3">
        <v>3201</v>
      </c>
      <c r="X13" s="3">
        <v>51912</v>
      </c>
      <c r="Y13" s="3">
        <v>94152</v>
      </c>
      <c r="Z13" s="3">
        <v>1966</v>
      </c>
      <c r="AA13">
        <v>517</v>
      </c>
      <c r="AB13" s="3">
        <v>1250</v>
      </c>
      <c r="AC13" s="3">
        <v>4184</v>
      </c>
      <c r="AD13" s="3">
        <v>10242</v>
      </c>
      <c r="AE13" s="3">
        <v>6496</v>
      </c>
      <c r="AF13" s="3">
        <v>2186</v>
      </c>
      <c r="AG13" s="3">
        <v>1962</v>
      </c>
      <c r="AH13" s="3">
        <v>270881</v>
      </c>
    </row>
    <row r="14" spans="1:34" ht="14.4" x14ac:dyDescent="0.3">
      <c r="A14" s="2" t="s">
        <v>46</v>
      </c>
      <c r="B14" t="s">
        <v>36</v>
      </c>
      <c r="C14" s="3">
        <v>11750</v>
      </c>
      <c r="D14">
        <v>765</v>
      </c>
      <c r="E14">
        <v>780</v>
      </c>
      <c r="F14" s="3">
        <v>4237</v>
      </c>
      <c r="G14" s="3">
        <v>6507</v>
      </c>
      <c r="H14" s="3">
        <v>1212</v>
      </c>
      <c r="I14" s="3">
        <v>2221</v>
      </c>
      <c r="J14" s="3">
        <v>1027</v>
      </c>
      <c r="K14" s="3">
        <v>3439</v>
      </c>
      <c r="L14">
        <v>805</v>
      </c>
      <c r="M14" s="3">
        <v>1958</v>
      </c>
      <c r="N14" s="3">
        <v>1882</v>
      </c>
      <c r="O14">
        <v>436</v>
      </c>
      <c r="P14" s="3">
        <v>19150</v>
      </c>
      <c r="Q14" s="3">
        <v>3492</v>
      </c>
      <c r="R14" s="3">
        <v>5157</v>
      </c>
      <c r="S14" s="3">
        <v>2752</v>
      </c>
      <c r="T14" s="3">
        <v>2068</v>
      </c>
      <c r="U14" s="3">
        <v>28735</v>
      </c>
      <c r="V14" s="3">
        <v>3686</v>
      </c>
      <c r="W14" s="3">
        <v>3338</v>
      </c>
      <c r="X14" s="3">
        <v>52193</v>
      </c>
      <c r="Y14" s="3">
        <v>96161</v>
      </c>
      <c r="Z14" s="3">
        <v>2047</v>
      </c>
      <c r="AA14">
        <v>528</v>
      </c>
      <c r="AB14" s="3">
        <v>1375</v>
      </c>
      <c r="AC14" s="3">
        <v>4370</v>
      </c>
      <c r="AD14" s="3">
        <v>10503</v>
      </c>
      <c r="AE14" s="3">
        <v>6615</v>
      </c>
      <c r="AF14" s="3">
        <v>2246</v>
      </c>
      <c r="AG14" s="3">
        <v>2021</v>
      </c>
      <c r="AH14" s="3">
        <v>277488</v>
      </c>
    </row>
    <row r="15" spans="1:34" ht="14.4" x14ac:dyDescent="0.3">
      <c r="A15" s="2" t="s">
        <v>47</v>
      </c>
      <c r="B15" t="s">
        <v>36</v>
      </c>
      <c r="C15" s="3">
        <v>11994</v>
      </c>
      <c r="D15">
        <v>745</v>
      </c>
      <c r="E15">
        <v>769</v>
      </c>
      <c r="F15" s="3">
        <v>4183</v>
      </c>
      <c r="G15" s="3">
        <v>6777</v>
      </c>
      <c r="H15" s="3">
        <v>1229</v>
      </c>
      <c r="I15" s="3">
        <v>2217</v>
      </c>
      <c r="J15" s="3">
        <v>1021</v>
      </c>
      <c r="K15" s="3">
        <v>5080</v>
      </c>
      <c r="L15">
        <v>851</v>
      </c>
      <c r="M15" s="3">
        <v>2443</v>
      </c>
      <c r="N15" s="3">
        <v>1942</v>
      </c>
      <c r="O15">
        <v>426</v>
      </c>
      <c r="P15" s="3">
        <v>19475</v>
      </c>
      <c r="Q15" s="3">
        <v>3545</v>
      </c>
      <c r="R15" s="3">
        <v>5258</v>
      </c>
      <c r="S15" s="3">
        <v>2808</v>
      </c>
      <c r="T15" s="3">
        <v>2110</v>
      </c>
      <c r="U15" s="3">
        <v>28721</v>
      </c>
      <c r="V15" s="3">
        <v>3796</v>
      </c>
      <c r="W15" s="3">
        <v>3385</v>
      </c>
      <c r="X15" s="3">
        <v>52477</v>
      </c>
      <c r="Y15" s="3">
        <v>98059</v>
      </c>
      <c r="Z15" s="3">
        <v>2100</v>
      </c>
      <c r="AA15">
        <v>529</v>
      </c>
      <c r="AB15" s="3">
        <v>1481</v>
      </c>
      <c r="AC15" s="3">
        <v>4534</v>
      </c>
      <c r="AD15" s="3">
        <v>10714</v>
      </c>
      <c r="AE15" s="3">
        <v>6687</v>
      </c>
      <c r="AF15" s="3">
        <v>2295</v>
      </c>
      <c r="AG15" s="3">
        <v>2065</v>
      </c>
      <c r="AH15" s="3">
        <v>284659</v>
      </c>
    </row>
    <row r="16" spans="1:34" ht="14.4" x14ac:dyDescent="0.3">
      <c r="A16" s="2" t="s">
        <v>48</v>
      </c>
      <c r="B16" t="s">
        <v>36</v>
      </c>
      <c r="C16" s="3">
        <v>12281</v>
      </c>
      <c r="D16">
        <v>734</v>
      </c>
      <c r="E16">
        <v>788</v>
      </c>
      <c r="F16" s="3">
        <v>4451</v>
      </c>
      <c r="G16" s="3">
        <v>6994</v>
      </c>
      <c r="H16" s="3">
        <v>1232</v>
      </c>
      <c r="I16" s="3">
        <v>2200</v>
      </c>
      <c r="J16" s="3">
        <v>1021</v>
      </c>
      <c r="K16" s="3">
        <v>6386</v>
      </c>
      <c r="L16">
        <v>842</v>
      </c>
      <c r="M16" s="3">
        <v>2949</v>
      </c>
      <c r="N16" s="3">
        <v>1996</v>
      </c>
      <c r="O16">
        <v>425</v>
      </c>
      <c r="P16" s="3">
        <v>19801</v>
      </c>
      <c r="Q16" s="3">
        <v>3613</v>
      </c>
      <c r="R16" s="3">
        <v>5445</v>
      </c>
      <c r="S16" s="3">
        <v>2920</v>
      </c>
      <c r="T16" s="3">
        <v>2198</v>
      </c>
      <c r="U16" s="3">
        <v>28446</v>
      </c>
      <c r="V16" s="3">
        <v>4118</v>
      </c>
      <c r="W16" s="3">
        <v>3733</v>
      </c>
      <c r="X16" s="3">
        <v>52816</v>
      </c>
      <c r="Y16" s="3">
        <v>100305</v>
      </c>
      <c r="Z16" s="3">
        <v>2325</v>
      </c>
      <c r="AA16">
        <v>570</v>
      </c>
      <c r="AB16" s="3">
        <v>1566</v>
      </c>
      <c r="AC16" s="3">
        <v>4587</v>
      </c>
      <c r="AD16" s="3">
        <v>10953</v>
      </c>
      <c r="AE16" s="3">
        <v>6770</v>
      </c>
      <c r="AF16" s="3">
        <v>2370</v>
      </c>
      <c r="AG16" s="3">
        <v>2138</v>
      </c>
      <c r="AH16" s="3">
        <v>293217</v>
      </c>
    </row>
    <row r="17" spans="1:34" ht="14.4" x14ac:dyDescent="0.3">
      <c r="A17" s="2" t="s">
        <v>49</v>
      </c>
      <c r="B17" t="s">
        <v>36</v>
      </c>
      <c r="C17" s="3">
        <v>12636</v>
      </c>
      <c r="D17">
        <v>725</v>
      </c>
      <c r="E17">
        <v>819</v>
      </c>
      <c r="F17" s="3">
        <v>4623</v>
      </c>
      <c r="G17" s="3">
        <v>7158</v>
      </c>
      <c r="H17" s="3">
        <v>1267</v>
      </c>
      <c r="I17" s="3">
        <v>2338</v>
      </c>
      <c r="J17" s="3">
        <v>1057</v>
      </c>
      <c r="K17" s="3">
        <v>7158</v>
      </c>
      <c r="L17">
        <v>844</v>
      </c>
      <c r="M17" s="3">
        <v>3265</v>
      </c>
      <c r="N17" s="3">
        <v>2087</v>
      </c>
      <c r="O17">
        <v>448</v>
      </c>
      <c r="P17" s="3">
        <v>19812</v>
      </c>
      <c r="Q17" s="3">
        <v>3698</v>
      </c>
      <c r="R17" s="3">
        <v>5974</v>
      </c>
      <c r="S17" s="3">
        <v>3197</v>
      </c>
      <c r="T17" s="3">
        <v>2378</v>
      </c>
      <c r="U17" s="3">
        <v>28283</v>
      </c>
      <c r="V17" s="3">
        <v>4509</v>
      </c>
      <c r="W17" s="3">
        <v>4234</v>
      </c>
      <c r="X17" s="3">
        <v>53742</v>
      </c>
      <c r="Y17" s="3">
        <v>102908</v>
      </c>
      <c r="Z17" s="3">
        <v>2633</v>
      </c>
      <c r="AA17">
        <v>641</v>
      </c>
      <c r="AB17" s="3">
        <v>1629</v>
      </c>
      <c r="AC17" s="3">
        <v>4660</v>
      </c>
      <c r="AD17" s="3">
        <v>11176</v>
      </c>
      <c r="AE17" s="3">
        <v>6884</v>
      </c>
      <c r="AF17" s="3">
        <v>2469</v>
      </c>
      <c r="AG17" s="3">
        <v>2265</v>
      </c>
      <c r="AH17" s="3">
        <v>303172</v>
      </c>
    </row>
    <row r="18" spans="1:34" ht="14.4" x14ac:dyDescent="0.3">
      <c r="A18" s="2" t="s">
        <v>50</v>
      </c>
      <c r="B18" t="s">
        <v>36</v>
      </c>
      <c r="C18" s="3">
        <v>12335</v>
      </c>
      <c r="D18">
        <v>704</v>
      </c>
      <c r="E18">
        <v>804</v>
      </c>
      <c r="F18" s="3">
        <v>4919</v>
      </c>
      <c r="G18" s="3">
        <v>7152</v>
      </c>
      <c r="H18" s="3">
        <v>1311</v>
      </c>
      <c r="I18" s="3">
        <v>2485</v>
      </c>
      <c r="J18" s="3">
        <v>1086</v>
      </c>
      <c r="K18" s="3">
        <v>7615</v>
      </c>
      <c r="L18">
        <v>828</v>
      </c>
      <c r="M18" s="3">
        <v>3910</v>
      </c>
      <c r="N18" s="3">
        <v>2191</v>
      </c>
      <c r="O18">
        <v>477</v>
      </c>
      <c r="P18" s="3">
        <v>19916</v>
      </c>
      <c r="Q18" s="3">
        <v>3761</v>
      </c>
      <c r="R18" s="3">
        <v>6272</v>
      </c>
      <c r="S18" s="3">
        <v>3453</v>
      </c>
      <c r="T18" s="3">
        <v>2564</v>
      </c>
      <c r="U18" s="3">
        <v>28944</v>
      </c>
      <c r="V18" s="3">
        <v>5105</v>
      </c>
      <c r="W18" s="3">
        <v>4913</v>
      </c>
      <c r="X18" s="3">
        <v>55297</v>
      </c>
      <c r="Y18" s="3">
        <v>105422</v>
      </c>
      <c r="Z18" s="3">
        <v>3042</v>
      </c>
      <c r="AA18">
        <v>720</v>
      </c>
      <c r="AB18" s="3">
        <v>1755</v>
      </c>
      <c r="AC18" s="3">
        <v>4858</v>
      </c>
      <c r="AD18" s="3">
        <v>11457</v>
      </c>
      <c r="AE18" s="3">
        <v>6995</v>
      </c>
      <c r="AF18" s="3">
        <v>2636</v>
      </c>
      <c r="AG18" s="3">
        <v>2398</v>
      </c>
      <c r="AH18" s="3">
        <v>314594</v>
      </c>
    </row>
    <row r="19" spans="1:34" ht="14.4" x14ac:dyDescent="0.3">
      <c r="A19" s="2" t="s">
        <v>51</v>
      </c>
      <c r="B19" t="s">
        <v>36</v>
      </c>
      <c r="C19" s="3">
        <v>11978</v>
      </c>
      <c r="D19">
        <v>690</v>
      </c>
      <c r="E19">
        <v>822</v>
      </c>
      <c r="F19" s="3">
        <v>5579</v>
      </c>
      <c r="G19" s="3">
        <v>7472</v>
      </c>
      <c r="H19" s="3">
        <v>1286</v>
      </c>
      <c r="I19" s="3">
        <v>2576</v>
      </c>
      <c r="J19" s="3">
        <v>1281</v>
      </c>
      <c r="K19" s="3">
        <v>7515</v>
      </c>
      <c r="L19">
        <v>827</v>
      </c>
      <c r="M19" s="3">
        <v>4200</v>
      </c>
      <c r="N19" s="3">
        <v>2267</v>
      </c>
      <c r="O19">
        <v>502</v>
      </c>
      <c r="P19" s="3">
        <v>20566</v>
      </c>
      <c r="Q19" s="3">
        <v>4021</v>
      </c>
      <c r="R19" s="3">
        <v>6340</v>
      </c>
      <c r="S19" s="3">
        <v>3659</v>
      </c>
      <c r="T19" s="3">
        <v>2823</v>
      </c>
      <c r="U19" s="3">
        <v>28659</v>
      </c>
      <c r="V19" s="3">
        <v>5848</v>
      </c>
      <c r="W19" s="3">
        <v>5058</v>
      </c>
      <c r="X19" s="3">
        <v>57440</v>
      </c>
      <c r="Y19" s="3">
        <v>107524</v>
      </c>
      <c r="Z19" s="3">
        <v>3319</v>
      </c>
      <c r="AA19">
        <v>748</v>
      </c>
      <c r="AB19" s="3">
        <v>1871</v>
      </c>
      <c r="AC19" s="3">
        <v>5220</v>
      </c>
      <c r="AD19" s="3">
        <v>11760</v>
      </c>
      <c r="AE19" s="3">
        <v>7131</v>
      </c>
      <c r="AF19" s="3">
        <v>2798</v>
      </c>
      <c r="AG19" s="3">
        <v>2408</v>
      </c>
      <c r="AH19" s="3">
        <v>324223</v>
      </c>
    </row>
    <row r="20" spans="1:34" ht="14.4" x14ac:dyDescent="0.3">
      <c r="A20" s="2" t="s">
        <v>52</v>
      </c>
      <c r="B20" t="s">
        <v>36</v>
      </c>
      <c r="C20" s="3">
        <v>11599</v>
      </c>
      <c r="D20">
        <v>677</v>
      </c>
      <c r="E20">
        <v>914</v>
      </c>
      <c r="F20" s="3">
        <v>5982</v>
      </c>
      <c r="G20" s="3">
        <v>7977</v>
      </c>
      <c r="H20" s="3">
        <v>1281</v>
      </c>
      <c r="I20" s="3">
        <v>2678</v>
      </c>
      <c r="J20" s="3">
        <v>1325</v>
      </c>
      <c r="K20" s="3">
        <v>7249</v>
      </c>
      <c r="L20">
        <v>810</v>
      </c>
      <c r="M20" s="3">
        <v>4385</v>
      </c>
      <c r="N20" s="3">
        <v>2479</v>
      </c>
      <c r="O20">
        <v>504</v>
      </c>
      <c r="P20" s="3">
        <v>20960</v>
      </c>
      <c r="Q20" s="3">
        <v>4309</v>
      </c>
      <c r="R20" s="3">
        <v>6611</v>
      </c>
      <c r="S20" s="3">
        <v>3594</v>
      </c>
      <c r="T20" s="3">
        <v>3191</v>
      </c>
      <c r="U20" s="3">
        <v>28944</v>
      </c>
      <c r="V20" s="3">
        <v>5960</v>
      </c>
      <c r="W20" s="3">
        <v>5626</v>
      </c>
      <c r="X20" s="3">
        <v>60591</v>
      </c>
      <c r="Y20" s="3">
        <v>109666</v>
      </c>
      <c r="Z20" s="3">
        <v>3524</v>
      </c>
      <c r="AA20">
        <v>755</v>
      </c>
      <c r="AB20" s="3">
        <v>1957</v>
      </c>
      <c r="AC20" s="3">
        <v>5329</v>
      </c>
      <c r="AD20" s="3">
        <v>12098</v>
      </c>
      <c r="AE20" s="3">
        <v>7215</v>
      </c>
      <c r="AF20" s="3">
        <v>3094</v>
      </c>
      <c r="AG20" s="3">
        <v>2368</v>
      </c>
      <c r="AH20" s="3">
        <v>334069</v>
      </c>
    </row>
    <row r="21" spans="1:34" ht="14.4" x14ac:dyDescent="0.3">
      <c r="A21" s="2" t="s">
        <v>53</v>
      </c>
      <c r="B21" t="s">
        <v>36</v>
      </c>
      <c r="C21" s="3">
        <v>11433</v>
      </c>
      <c r="D21">
        <v>667</v>
      </c>
      <c r="E21">
        <v>927</v>
      </c>
      <c r="F21" s="3">
        <v>6117</v>
      </c>
      <c r="G21" s="3">
        <v>8012</v>
      </c>
      <c r="H21" s="3">
        <v>1272</v>
      </c>
      <c r="I21" s="3">
        <v>2949</v>
      </c>
      <c r="J21" s="3">
        <v>1372</v>
      </c>
      <c r="K21" s="3">
        <v>7198</v>
      </c>
      <c r="L21">
        <v>861</v>
      </c>
      <c r="M21" s="3">
        <v>4358</v>
      </c>
      <c r="N21" s="3">
        <v>2524</v>
      </c>
      <c r="O21">
        <v>520</v>
      </c>
      <c r="P21" s="3">
        <v>21298</v>
      </c>
      <c r="Q21" s="3">
        <v>4542</v>
      </c>
      <c r="R21" s="3">
        <v>6802</v>
      </c>
      <c r="S21" s="3">
        <v>3828</v>
      </c>
      <c r="T21" s="3">
        <v>3193</v>
      </c>
      <c r="U21" s="3">
        <v>28496</v>
      </c>
      <c r="V21" s="3">
        <v>6610</v>
      </c>
      <c r="W21" s="3">
        <v>5827</v>
      </c>
      <c r="X21" s="3">
        <v>64147</v>
      </c>
      <c r="Y21" s="3">
        <v>111987</v>
      </c>
      <c r="Z21" s="3">
        <v>3677</v>
      </c>
      <c r="AA21">
        <v>752</v>
      </c>
      <c r="AB21" s="3">
        <v>2072</v>
      </c>
      <c r="AC21" s="3">
        <v>5345</v>
      </c>
      <c r="AD21" s="3">
        <v>12405</v>
      </c>
      <c r="AE21" s="3">
        <v>7329</v>
      </c>
      <c r="AF21" s="3">
        <v>3340</v>
      </c>
      <c r="AG21" s="3">
        <v>2363</v>
      </c>
      <c r="AH21" s="3">
        <v>342706</v>
      </c>
    </row>
    <row r="22" spans="1:34" ht="14.4" x14ac:dyDescent="0.3">
      <c r="A22" s="2" t="s">
        <v>54</v>
      </c>
      <c r="B22" t="s">
        <v>36</v>
      </c>
      <c r="C22" s="3">
        <v>11521</v>
      </c>
      <c r="D22">
        <v>667</v>
      </c>
      <c r="E22" s="3">
        <v>1035</v>
      </c>
      <c r="F22" s="3">
        <v>6042</v>
      </c>
      <c r="G22" s="3">
        <v>8904</v>
      </c>
      <c r="H22" s="3">
        <v>1269</v>
      </c>
      <c r="I22" s="3">
        <v>3436</v>
      </c>
      <c r="J22" s="3">
        <v>1402</v>
      </c>
      <c r="K22" s="3">
        <v>6996</v>
      </c>
      <c r="L22">
        <v>861</v>
      </c>
      <c r="M22" s="3">
        <v>4200</v>
      </c>
      <c r="N22" s="3">
        <v>2612</v>
      </c>
      <c r="O22">
        <v>523</v>
      </c>
      <c r="P22" s="3">
        <v>21708</v>
      </c>
      <c r="Q22" s="3">
        <v>4629</v>
      </c>
      <c r="R22" s="3">
        <v>6524</v>
      </c>
      <c r="S22" s="3">
        <v>3930</v>
      </c>
      <c r="T22" s="3">
        <v>3207</v>
      </c>
      <c r="U22" s="3">
        <v>28761</v>
      </c>
      <c r="V22" s="3">
        <v>7319</v>
      </c>
      <c r="W22" s="3">
        <v>5581</v>
      </c>
      <c r="X22" s="3">
        <v>66796</v>
      </c>
      <c r="Y22" s="3">
        <v>114705</v>
      </c>
      <c r="Z22" s="3">
        <v>3739</v>
      </c>
      <c r="AA22">
        <v>755</v>
      </c>
      <c r="AB22" s="3">
        <v>2188</v>
      </c>
      <c r="AC22" s="3">
        <v>5553</v>
      </c>
      <c r="AD22" s="3">
        <v>12661</v>
      </c>
      <c r="AE22" s="3">
        <v>7182</v>
      </c>
      <c r="AF22" s="3">
        <v>3652</v>
      </c>
      <c r="AG22" s="3">
        <v>2359</v>
      </c>
      <c r="AH22" s="3">
        <v>351017</v>
      </c>
    </row>
    <row r="23" spans="1:34" ht="14.4" x14ac:dyDescent="0.3">
      <c r="A23" s="2" t="s">
        <v>55</v>
      </c>
      <c r="B23" t="s">
        <v>36</v>
      </c>
      <c r="C23" s="3">
        <v>11517</v>
      </c>
      <c r="D23">
        <v>702</v>
      </c>
      <c r="E23" s="3">
        <v>1079</v>
      </c>
      <c r="F23" s="3">
        <v>6541</v>
      </c>
      <c r="G23" s="3">
        <v>8958</v>
      </c>
      <c r="H23" s="3">
        <v>1257</v>
      </c>
      <c r="I23" s="3">
        <v>3425</v>
      </c>
      <c r="J23" s="3">
        <v>1359</v>
      </c>
      <c r="K23" s="3">
        <v>6847</v>
      </c>
      <c r="L23">
        <v>927</v>
      </c>
      <c r="M23" s="3">
        <v>4107</v>
      </c>
      <c r="N23" s="3">
        <v>2583</v>
      </c>
      <c r="O23">
        <v>527</v>
      </c>
      <c r="P23" s="3">
        <v>22401</v>
      </c>
      <c r="Q23" s="3">
        <v>4787</v>
      </c>
      <c r="R23" s="3">
        <v>6465</v>
      </c>
      <c r="S23" s="3">
        <v>4088</v>
      </c>
      <c r="T23" s="3">
        <v>3320</v>
      </c>
      <c r="U23" s="3">
        <v>28517</v>
      </c>
      <c r="V23" s="3">
        <v>7984</v>
      </c>
      <c r="W23" s="3">
        <v>5343</v>
      </c>
      <c r="X23" s="3">
        <v>68850</v>
      </c>
      <c r="Y23" s="3">
        <v>117392</v>
      </c>
      <c r="Z23" s="3">
        <v>3834</v>
      </c>
      <c r="AA23">
        <v>758</v>
      </c>
      <c r="AB23" s="3">
        <v>2224</v>
      </c>
      <c r="AC23" s="3">
        <v>5864</v>
      </c>
      <c r="AD23" s="3">
        <v>12895</v>
      </c>
      <c r="AE23" s="3">
        <v>7273</v>
      </c>
      <c r="AF23" s="3">
        <v>3861</v>
      </c>
      <c r="AG23" s="3">
        <v>2350</v>
      </c>
      <c r="AH23" s="3">
        <v>358018</v>
      </c>
    </row>
    <row r="24" spans="1:34" ht="14.4" x14ac:dyDescent="0.3">
      <c r="A24" s="2" t="s">
        <v>56</v>
      </c>
      <c r="B24" t="s">
        <v>36</v>
      </c>
      <c r="C24" s="3">
        <v>11583</v>
      </c>
      <c r="D24">
        <v>756</v>
      </c>
      <c r="E24" s="3">
        <v>1075</v>
      </c>
      <c r="F24" s="3">
        <v>6932</v>
      </c>
      <c r="G24" s="3">
        <v>8886</v>
      </c>
      <c r="H24" s="3">
        <v>1208</v>
      </c>
      <c r="I24" s="3">
        <v>3674</v>
      </c>
      <c r="J24" s="3">
        <v>1304</v>
      </c>
      <c r="K24" s="3">
        <v>6631</v>
      </c>
      <c r="L24">
        <v>881</v>
      </c>
      <c r="M24" s="3">
        <v>3885</v>
      </c>
      <c r="N24" s="3">
        <v>2483</v>
      </c>
      <c r="O24">
        <v>523</v>
      </c>
      <c r="P24" s="3">
        <v>22741</v>
      </c>
      <c r="Q24" s="3">
        <v>4773</v>
      </c>
      <c r="R24" s="3">
        <v>6188</v>
      </c>
      <c r="S24" s="3">
        <v>4007</v>
      </c>
      <c r="T24" s="3">
        <v>3254</v>
      </c>
      <c r="U24" s="3">
        <v>28060</v>
      </c>
      <c r="V24" s="3">
        <v>8425</v>
      </c>
      <c r="W24" s="3">
        <v>5035</v>
      </c>
      <c r="X24" s="3">
        <v>69002</v>
      </c>
      <c r="Y24" s="3">
        <v>119344</v>
      </c>
      <c r="Z24" s="3">
        <v>3895</v>
      </c>
      <c r="AA24">
        <v>743</v>
      </c>
      <c r="AB24" s="3">
        <v>2248</v>
      </c>
      <c r="AC24" s="3">
        <v>6162</v>
      </c>
      <c r="AD24" s="3">
        <v>13123</v>
      </c>
      <c r="AE24" s="3">
        <v>7332</v>
      </c>
      <c r="AF24" s="3">
        <v>4049</v>
      </c>
      <c r="AG24" s="3">
        <v>2296</v>
      </c>
      <c r="AH24" s="3">
        <v>360037</v>
      </c>
    </row>
    <row r="25" spans="1:34" ht="14.4" x14ac:dyDescent="0.3">
      <c r="A25" s="2" t="s">
        <v>57</v>
      </c>
      <c r="B25" t="s">
        <v>36</v>
      </c>
      <c r="C25" s="3">
        <v>11695</v>
      </c>
      <c r="D25">
        <v>766</v>
      </c>
      <c r="E25" s="3">
        <v>1122</v>
      </c>
      <c r="F25" s="3">
        <v>6922</v>
      </c>
      <c r="G25" s="3">
        <v>9116</v>
      </c>
      <c r="H25" s="3">
        <v>1183</v>
      </c>
      <c r="I25" s="3">
        <v>3539</v>
      </c>
      <c r="J25" s="3">
        <v>1273</v>
      </c>
      <c r="K25" s="3">
        <v>6446</v>
      </c>
      <c r="L25">
        <v>855</v>
      </c>
      <c r="M25" s="3">
        <v>3688</v>
      </c>
      <c r="N25" s="3">
        <v>2445</v>
      </c>
      <c r="O25">
        <v>531</v>
      </c>
      <c r="P25" s="3">
        <v>22809</v>
      </c>
      <c r="Q25" s="3">
        <v>4716</v>
      </c>
      <c r="R25" s="3">
        <v>6107</v>
      </c>
      <c r="S25" s="3">
        <v>3916</v>
      </c>
      <c r="T25" s="3">
        <v>3300</v>
      </c>
      <c r="U25" s="3">
        <v>27196</v>
      </c>
      <c r="V25" s="3">
        <v>8594</v>
      </c>
      <c r="W25" s="3">
        <v>4951</v>
      </c>
      <c r="X25" s="3">
        <v>69630</v>
      </c>
      <c r="Y25" s="3">
        <v>121449</v>
      </c>
      <c r="Z25" s="3">
        <v>3917</v>
      </c>
      <c r="AA25">
        <v>744</v>
      </c>
      <c r="AB25" s="3">
        <v>2274</v>
      </c>
      <c r="AC25" s="3">
        <v>6325</v>
      </c>
      <c r="AD25" s="3">
        <v>13391</v>
      </c>
      <c r="AE25" s="3">
        <v>7372</v>
      </c>
      <c r="AF25" s="3">
        <v>4094</v>
      </c>
      <c r="AG25" s="3">
        <v>2250</v>
      </c>
      <c r="AH25" s="3">
        <v>361597</v>
      </c>
    </row>
    <row r="26" spans="1:34" ht="14.4" x14ac:dyDescent="0.3">
      <c r="A26" s="2" t="s">
        <v>58</v>
      </c>
      <c r="B26" t="s">
        <v>36</v>
      </c>
      <c r="C26" s="3">
        <v>11771</v>
      </c>
      <c r="D26">
        <v>831</v>
      </c>
      <c r="E26" s="3">
        <v>1218</v>
      </c>
      <c r="F26" s="3">
        <v>6710</v>
      </c>
      <c r="G26" s="3">
        <v>9532</v>
      </c>
      <c r="H26" s="3">
        <v>1196</v>
      </c>
      <c r="I26" s="3">
        <v>3744</v>
      </c>
      <c r="J26" s="3">
        <v>1342</v>
      </c>
      <c r="K26" s="3">
        <v>6356</v>
      </c>
      <c r="L26">
        <v>875</v>
      </c>
      <c r="M26" s="3">
        <v>3620</v>
      </c>
      <c r="N26" s="3">
        <v>2526</v>
      </c>
      <c r="O26">
        <v>588</v>
      </c>
      <c r="P26" s="3">
        <v>22814</v>
      </c>
      <c r="Q26" s="3">
        <v>4925</v>
      </c>
      <c r="R26" s="3">
        <v>6156</v>
      </c>
      <c r="S26" s="3">
        <v>3987</v>
      </c>
      <c r="T26" s="3">
        <v>3290</v>
      </c>
      <c r="U26" s="3">
        <v>26891</v>
      </c>
      <c r="V26" s="3">
        <v>8657</v>
      </c>
      <c r="W26" s="3">
        <v>4899</v>
      </c>
      <c r="X26" s="3">
        <v>70645</v>
      </c>
      <c r="Y26" s="3">
        <v>124242</v>
      </c>
      <c r="Z26" s="3">
        <v>4110</v>
      </c>
      <c r="AA26">
        <v>798</v>
      </c>
      <c r="AB26" s="3">
        <v>2292</v>
      </c>
      <c r="AC26" s="3">
        <v>6556</v>
      </c>
      <c r="AD26" s="3">
        <v>13595</v>
      </c>
      <c r="AE26" s="3">
        <v>7383</v>
      </c>
      <c r="AF26" s="3">
        <v>4221</v>
      </c>
      <c r="AG26" s="3">
        <v>2258</v>
      </c>
      <c r="AH26" s="3">
        <v>366862</v>
      </c>
    </row>
    <row r="27" spans="1:34" ht="14.4" x14ac:dyDescent="0.3">
      <c r="A27" s="2" t="s">
        <v>59</v>
      </c>
      <c r="B27" t="s">
        <v>36</v>
      </c>
      <c r="C27" s="3">
        <v>11871</v>
      </c>
      <c r="D27">
        <v>949</v>
      </c>
      <c r="E27" s="3">
        <v>1268</v>
      </c>
      <c r="F27" s="3">
        <v>6505</v>
      </c>
      <c r="G27" s="3">
        <v>9834</v>
      </c>
      <c r="H27" s="3">
        <v>1230</v>
      </c>
      <c r="I27" s="3">
        <v>3773</v>
      </c>
      <c r="J27" s="3">
        <v>1423</v>
      </c>
      <c r="K27" s="3">
        <v>6599</v>
      </c>
      <c r="L27">
        <v>902</v>
      </c>
      <c r="M27" s="3">
        <v>3647</v>
      </c>
      <c r="N27" s="3">
        <v>2694</v>
      </c>
      <c r="O27">
        <v>630</v>
      </c>
      <c r="P27" s="3">
        <v>22833</v>
      </c>
      <c r="Q27" s="3">
        <v>5165</v>
      </c>
      <c r="R27" s="3">
        <v>6260</v>
      </c>
      <c r="S27" s="3">
        <v>4109</v>
      </c>
      <c r="T27" s="3">
        <v>3339</v>
      </c>
      <c r="U27" s="3">
        <v>26957</v>
      </c>
      <c r="V27" s="3">
        <v>8815</v>
      </c>
      <c r="W27" s="3">
        <v>5126</v>
      </c>
      <c r="X27" s="3">
        <v>72707</v>
      </c>
      <c r="Y27" s="3">
        <v>127640</v>
      </c>
      <c r="Z27" s="3">
        <v>4298</v>
      </c>
      <c r="AA27">
        <v>846</v>
      </c>
      <c r="AB27" s="3">
        <v>2312</v>
      </c>
      <c r="AC27" s="3">
        <v>6638</v>
      </c>
      <c r="AD27" s="3">
        <v>14024</v>
      </c>
      <c r="AE27" s="3">
        <v>7492</v>
      </c>
      <c r="AF27" s="3">
        <v>4373</v>
      </c>
      <c r="AG27" s="3">
        <v>2301</v>
      </c>
      <c r="AH27" s="3">
        <v>375373</v>
      </c>
    </row>
    <row r="28" spans="1:34" ht="14.4" x14ac:dyDescent="0.3">
      <c r="A28" s="2" t="s">
        <v>60</v>
      </c>
      <c r="B28" t="s">
        <v>36</v>
      </c>
      <c r="C28" s="3">
        <v>11778</v>
      </c>
      <c r="D28" s="3">
        <v>1045</v>
      </c>
      <c r="E28" s="3">
        <v>1468</v>
      </c>
      <c r="F28" s="3">
        <v>6536</v>
      </c>
      <c r="G28" s="3">
        <v>9906</v>
      </c>
      <c r="H28" s="3">
        <v>1282</v>
      </c>
      <c r="I28" s="3">
        <v>3885</v>
      </c>
      <c r="J28" s="3">
        <v>1477</v>
      </c>
      <c r="K28" s="3">
        <v>6553</v>
      </c>
      <c r="L28">
        <v>906</v>
      </c>
      <c r="M28" s="3">
        <v>3660</v>
      </c>
      <c r="N28" s="3">
        <v>2720</v>
      </c>
      <c r="O28">
        <v>646</v>
      </c>
      <c r="P28" s="3">
        <v>23087</v>
      </c>
      <c r="Q28" s="3">
        <v>5470</v>
      </c>
      <c r="R28" s="3">
        <v>6480</v>
      </c>
      <c r="S28" s="3">
        <v>4212</v>
      </c>
      <c r="T28" s="3">
        <v>3266</v>
      </c>
      <c r="U28" s="3">
        <v>27510</v>
      </c>
      <c r="V28" s="3">
        <v>10000</v>
      </c>
      <c r="W28" s="3">
        <v>4917</v>
      </c>
      <c r="X28" s="3">
        <v>75309</v>
      </c>
      <c r="Y28" s="3">
        <v>130930</v>
      </c>
      <c r="Z28" s="3">
        <v>4585</v>
      </c>
      <c r="AA28">
        <v>912</v>
      </c>
      <c r="AB28" s="3">
        <v>2332</v>
      </c>
      <c r="AC28" s="3">
        <v>6824</v>
      </c>
      <c r="AD28" s="3">
        <v>14314</v>
      </c>
      <c r="AE28" s="3">
        <v>7686</v>
      </c>
      <c r="AF28" s="3">
        <v>4542</v>
      </c>
      <c r="AG28" s="3">
        <v>2476</v>
      </c>
      <c r="AH28" s="3">
        <v>385663</v>
      </c>
    </row>
    <row r="29" spans="1:34" ht="14.4" x14ac:dyDescent="0.3">
      <c r="A29" s="2" t="s">
        <v>61</v>
      </c>
      <c r="B29" t="s">
        <v>36</v>
      </c>
      <c r="C29" s="3">
        <v>11575</v>
      </c>
      <c r="D29" s="3">
        <v>1045</v>
      </c>
      <c r="E29" s="3">
        <v>1671</v>
      </c>
      <c r="F29" s="3">
        <v>6330</v>
      </c>
      <c r="G29" s="3">
        <v>9938</v>
      </c>
      <c r="H29" s="3">
        <v>1270</v>
      </c>
      <c r="I29" s="3">
        <v>4078</v>
      </c>
      <c r="J29" s="3">
        <v>1432</v>
      </c>
      <c r="K29" s="3">
        <v>6389</v>
      </c>
      <c r="L29">
        <v>943</v>
      </c>
      <c r="M29" s="3">
        <v>4209</v>
      </c>
      <c r="N29" s="3">
        <v>2774</v>
      </c>
      <c r="O29">
        <v>631</v>
      </c>
      <c r="P29" s="3">
        <v>24078</v>
      </c>
      <c r="Q29" s="3">
        <v>5675</v>
      </c>
      <c r="R29" s="3">
        <v>6523</v>
      </c>
      <c r="S29" s="3">
        <v>4328</v>
      </c>
      <c r="T29" s="3">
        <v>3602</v>
      </c>
      <c r="U29" s="3">
        <v>27969</v>
      </c>
      <c r="V29" s="3">
        <v>10924</v>
      </c>
      <c r="W29" s="3">
        <v>4873</v>
      </c>
      <c r="X29" s="3">
        <v>76623</v>
      </c>
      <c r="Y29" s="3">
        <v>134594</v>
      </c>
      <c r="Z29" s="3">
        <v>4852</v>
      </c>
      <c r="AA29" s="3">
        <v>1128</v>
      </c>
      <c r="AB29" s="3">
        <v>2355</v>
      </c>
      <c r="AC29" s="3">
        <v>7090</v>
      </c>
      <c r="AD29" s="3">
        <v>14925</v>
      </c>
      <c r="AE29" s="3">
        <v>7877</v>
      </c>
      <c r="AF29" s="3">
        <v>4715</v>
      </c>
      <c r="AG29" s="3">
        <v>2594</v>
      </c>
      <c r="AH29" s="3">
        <v>396165</v>
      </c>
    </row>
    <row r="30" spans="1:34" ht="14.4" x14ac:dyDescent="0.3">
      <c r="A30" s="2" t="s">
        <v>62</v>
      </c>
      <c r="B30" t="s">
        <v>36</v>
      </c>
      <c r="C30" s="3">
        <v>11452</v>
      </c>
      <c r="D30" s="3">
        <v>1091</v>
      </c>
      <c r="E30" s="3">
        <v>1699</v>
      </c>
      <c r="F30" s="3">
        <v>5936</v>
      </c>
      <c r="G30" s="3">
        <v>9906</v>
      </c>
      <c r="H30" s="3">
        <v>1231</v>
      </c>
      <c r="I30" s="3">
        <v>4361</v>
      </c>
      <c r="J30" s="3">
        <v>1394</v>
      </c>
      <c r="K30" s="3">
        <v>6256</v>
      </c>
      <c r="L30">
        <v>956</v>
      </c>
      <c r="M30" s="3">
        <v>4061</v>
      </c>
      <c r="N30" s="3">
        <v>2691</v>
      </c>
      <c r="O30">
        <v>601</v>
      </c>
      <c r="P30" s="3">
        <v>25511</v>
      </c>
      <c r="Q30" s="3">
        <v>5831</v>
      </c>
      <c r="R30" s="3">
        <v>6622</v>
      </c>
      <c r="S30" s="3">
        <v>4605</v>
      </c>
      <c r="T30" s="3">
        <v>3698</v>
      </c>
      <c r="U30" s="3">
        <v>28739</v>
      </c>
      <c r="V30" s="3">
        <v>11787</v>
      </c>
      <c r="W30" s="3">
        <v>5089</v>
      </c>
      <c r="X30" s="3">
        <v>77815</v>
      </c>
      <c r="Y30" s="3">
        <v>138261</v>
      </c>
      <c r="Z30" s="3">
        <v>5316</v>
      </c>
      <c r="AA30" s="3">
        <v>1148</v>
      </c>
      <c r="AB30" s="3">
        <v>2375</v>
      </c>
      <c r="AC30" s="3">
        <v>8009</v>
      </c>
      <c r="AD30" s="3">
        <v>15550</v>
      </c>
      <c r="AE30" s="3">
        <v>8116</v>
      </c>
      <c r="AF30" s="3">
        <v>4944</v>
      </c>
      <c r="AG30" s="3">
        <v>2593</v>
      </c>
      <c r="AH30" s="3">
        <v>407062</v>
      </c>
    </row>
    <row r="31" spans="1:34" ht="14.4" x14ac:dyDescent="0.3">
      <c r="A31" s="2" t="s">
        <v>63</v>
      </c>
      <c r="B31" t="s">
        <v>36</v>
      </c>
      <c r="C31" s="3">
        <v>11284</v>
      </c>
      <c r="D31" s="3">
        <v>1039</v>
      </c>
      <c r="E31" s="3">
        <v>1844</v>
      </c>
      <c r="F31" s="3">
        <v>5821</v>
      </c>
      <c r="G31" s="3">
        <v>10299</v>
      </c>
      <c r="H31" s="3">
        <v>1168</v>
      </c>
      <c r="I31" s="3">
        <v>4355</v>
      </c>
      <c r="J31" s="3">
        <v>1392</v>
      </c>
      <c r="K31" s="3">
        <v>6121</v>
      </c>
      <c r="L31">
        <v>981</v>
      </c>
      <c r="M31" s="3">
        <v>3943</v>
      </c>
      <c r="N31" s="3">
        <v>2687</v>
      </c>
      <c r="O31">
        <v>590</v>
      </c>
      <c r="P31" s="3">
        <v>26260</v>
      </c>
      <c r="Q31" s="3">
        <v>5942</v>
      </c>
      <c r="R31" s="3">
        <v>6376</v>
      </c>
      <c r="S31" s="3">
        <v>4810</v>
      </c>
      <c r="T31" s="3">
        <v>3967</v>
      </c>
      <c r="U31" s="3">
        <v>29461</v>
      </c>
      <c r="V31" s="3">
        <v>12553</v>
      </c>
      <c r="W31" s="3">
        <v>5120</v>
      </c>
      <c r="X31" s="3">
        <v>78679</v>
      </c>
      <c r="Y31" s="3">
        <v>141019</v>
      </c>
      <c r="Z31" s="3">
        <v>5572</v>
      </c>
      <c r="AA31" s="3">
        <v>1241</v>
      </c>
      <c r="AB31" s="3">
        <v>2417</v>
      </c>
      <c r="AC31" s="3">
        <v>8210</v>
      </c>
      <c r="AD31" s="3">
        <v>16157</v>
      </c>
      <c r="AE31" s="3">
        <v>8383</v>
      </c>
      <c r="AF31" s="3">
        <v>5252</v>
      </c>
      <c r="AG31" s="3">
        <v>2720</v>
      </c>
      <c r="AH31" s="3">
        <v>415202</v>
      </c>
    </row>
    <row r="32" spans="1:34" ht="14.4" x14ac:dyDescent="0.3">
      <c r="A32" s="2" t="s">
        <v>64</v>
      </c>
      <c r="B32" t="s">
        <v>36</v>
      </c>
      <c r="C32" s="3">
        <v>11219</v>
      </c>
      <c r="D32" s="3">
        <v>1068</v>
      </c>
      <c r="E32" s="3">
        <v>1978</v>
      </c>
      <c r="F32" s="3">
        <v>6006</v>
      </c>
      <c r="G32" s="3">
        <v>10784</v>
      </c>
      <c r="H32" s="3">
        <v>1118</v>
      </c>
      <c r="I32" s="3">
        <v>4238</v>
      </c>
      <c r="J32" s="3">
        <v>1361</v>
      </c>
      <c r="K32" s="3">
        <v>5904</v>
      </c>
      <c r="L32" s="3">
        <v>1014</v>
      </c>
      <c r="M32" s="3">
        <v>3819</v>
      </c>
      <c r="N32" s="3">
        <v>2700</v>
      </c>
      <c r="O32">
        <v>588</v>
      </c>
      <c r="P32" s="3">
        <v>27362</v>
      </c>
      <c r="Q32" s="3">
        <v>6139</v>
      </c>
      <c r="R32" s="3">
        <v>6365</v>
      </c>
      <c r="S32" s="3">
        <v>4860</v>
      </c>
      <c r="T32" s="3">
        <v>4130</v>
      </c>
      <c r="U32" s="3">
        <v>30292</v>
      </c>
      <c r="V32" s="3">
        <v>13251</v>
      </c>
      <c r="W32" s="3">
        <v>4987</v>
      </c>
      <c r="X32" s="3">
        <v>80780</v>
      </c>
      <c r="Y32" s="3">
        <v>144660</v>
      </c>
      <c r="Z32" s="3">
        <v>6064</v>
      </c>
      <c r="AA32" s="3">
        <v>1180</v>
      </c>
      <c r="AB32" s="3">
        <v>2442</v>
      </c>
      <c r="AC32" s="3">
        <v>8967</v>
      </c>
      <c r="AD32" s="3">
        <v>16862</v>
      </c>
      <c r="AE32" s="3">
        <v>8615</v>
      </c>
      <c r="AF32" s="3">
        <v>5466</v>
      </c>
      <c r="AG32" s="3">
        <v>2908</v>
      </c>
      <c r="AH32" s="3">
        <v>426705</v>
      </c>
    </row>
    <row r="33" spans="1:34" ht="14.4" x14ac:dyDescent="0.3">
      <c r="A33" s="2" t="s">
        <v>65</v>
      </c>
      <c r="B33" t="s">
        <v>36</v>
      </c>
      <c r="C33" s="3">
        <v>11465</v>
      </c>
      <c r="D33" s="3">
        <v>1053</v>
      </c>
      <c r="E33" s="3">
        <v>2079</v>
      </c>
      <c r="F33" s="3">
        <v>5909</v>
      </c>
      <c r="G33" s="3">
        <v>10868</v>
      </c>
      <c r="H33" s="3">
        <v>1041</v>
      </c>
      <c r="I33" s="3">
        <v>4921</v>
      </c>
      <c r="J33" s="3">
        <v>1328</v>
      </c>
      <c r="K33" s="3">
        <v>5647</v>
      </c>
      <c r="L33">
        <v>997</v>
      </c>
      <c r="M33" s="3">
        <v>3668</v>
      </c>
      <c r="N33" s="3">
        <v>2757</v>
      </c>
      <c r="O33">
        <v>571</v>
      </c>
      <c r="P33" s="3">
        <v>28126</v>
      </c>
      <c r="Q33" s="3">
        <v>6261</v>
      </c>
      <c r="R33" s="3">
        <v>6368</v>
      </c>
      <c r="S33" s="3">
        <v>4951</v>
      </c>
      <c r="T33" s="3">
        <v>4331</v>
      </c>
      <c r="U33" s="3">
        <v>30932</v>
      </c>
      <c r="V33" s="3">
        <v>14790</v>
      </c>
      <c r="W33" s="3">
        <v>5035</v>
      </c>
      <c r="X33" s="3">
        <v>81874</v>
      </c>
      <c r="Y33" s="3">
        <v>147244</v>
      </c>
      <c r="Z33" s="3">
        <v>6411</v>
      </c>
      <c r="AA33" s="3">
        <v>1271</v>
      </c>
      <c r="AB33" s="3">
        <v>2484</v>
      </c>
      <c r="AC33" s="3">
        <v>8812</v>
      </c>
      <c r="AD33" s="3">
        <v>17131</v>
      </c>
      <c r="AE33" s="3">
        <v>9036</v>
      </c>
      <c r="AF33" s="3">
        <v>5760</v>
      </c>
      <c r="AG33" s="3">
        <v>2994</v>
      </c>
      <c r="AH33" s="3">
        <v>435974</v>
      </c>
    </row>
    <row r="34" spans="1:34" ht="14.4" x14ac:dyDescent="0.3">
      <c r="A34" s="2" t="s">
        <v>66</v>
      </c>
      <c r="B34" t="s">
        <v>36</v>
      </c>
      <c r="C34" s="3">
        <v>11859</v>
      </c>
      <c r="D34" s="3">
        <v>1077</v>
      </c>
      <c r="E34" s="3">
        <v>2294</v>
      </c>
      <c r="F34" s="3">
        <v>5944</v>
      </c>
      <c r="G34" s="3">
        <v>11563</v>
      </c>
      <c r="H34">
        <v>994</v>
      </c>
      <c r="I34" s="3">
        <v>5083</v>
      </c>
      <c r="J34" s="3">
        <v>1308</v>
      </c>
      <c r="K34" s="3">
        <v>5587</v>
      </c>
      <c r="L34">
        <v>951</v>
      </c>
      <c r="M34" s="3">
        <v>3495</v>
      </c>
      <c r="N34" s="3">
        <v>3057</v>
      </c>
      <c r="O34">
        <v>551</v>
      </c>
      <c r="P34" s="3">
        <v>28928</v>
      </c>
      <c r="Q34" s="3">
        <v>6373</v>
      </c>
      <c r="R34" s="3">
        <v>6280</v>
      </c>
      <c r="S34" s="3">
        <v>5006</v>
      </c>
      <c r="T34" s="3">
        <v>4657</v>
      </c>
      <c r="U34" s="3">
        <v>32030</v>
      </c>
      <c r="V34" s="3">
        <v>14947</v>
      </c>
      <c r="W34" s="3">
        <v>5241</v>
      </c>
      <c r="X34" s="3">
        <v>83814</v>
      </c>
      <c r="Y34" s="3">
        <v>149762</v>
      </c>
      <c r="Z34" s="3">
        <v>6891</v>
      </c>
      <c r="AA34" s="3">
        <v>1338</v>
      </c>
      <c r="AB34" s="3">
        <v>2539</v>
      </c>
      <c r="AC34" s="3">
        <v>9019</v>
      </c>
      <c r="AD34" s="3">
        <v>17591</v>
      </c>
      <c r="AE34" s="3">
        <v>9468</v>
      </c>
      <c r="AF34" s="3">
        <v>6236</v>
      </c>
      <c r="AG34" s="3">
        <v>3070</v>
      </c>
      <c r="AH34" s="3">
        <v>447065</v>
      </c>
    </row>
    <row r="35" spans="1:34" ht="14.4" x14ac:dyDescent="0.3">
      <c r="A35" s="2" t="s">
        <v>67</v>
      </c>
      <c r="B35" t="s">
        <v>36</v>
      </c>
      <c r="C35" s="3">
        <v>12247</v>
      </c>
      <c r="D35" s="3">
        <v>1137</v>
      </c>
      <c r="E35" s="3">
        <v>2479</v>
      </c>
      <c r="F35" s="3">
        <v>6405</v>
      </c>
      <c r="G35" s="3">
        <v>11756</v>
      </c>
      <c r="H35">
        <v>963</v>
      </c>
      <c r="I35" s="3">
        <v>5047</v>
      </c>
      <c r="J35" s="3">
        <v>1387</v>
      </c>
      <c r="K35" s="3">
        <v>5471</v>
      </c>
      <c r="L35">
        <v>951</v>
      </c>
      <c r="M35" s="3">
        <v>3420</v>
      </c>
      <c r="N35" s="3">
        <v>3158</v>
      </c>
      <c r="O35">
        <v>549</v>
      </c>
      <c r="P35" s="3">
        <v>30134</v>
      </c>
      <c r="Q35" s="3">
        <v>6596</v>
      </c>
      <c r="R35" s="3">
        <v>6323</v>
      </c>
      <c r="S35" s="3">
        <v>5197</v>
      </c>
      <c r="T35" s="3">
        <v>5000</v>
      </c>
      <c r="U35" s="3">
        <v>33824</v>
      </c>
      <c r="V35" s="3">
        <v>15295</v>
      </c>
      <c r="W35" s="3">
        <v>5422</v>
      </c>
      <c r="X35" s="3">
        <v>85326</v>
      </c>
      <c r="Y35" s="3">
        <v>153521</v>
      </c>
      <c r="Z35" s="3">
        <v>7464</v>
      </c>
      <c r="AA35" s="3">
        <v>1398</v>
      </c>
      <c r="AB35" s="3">
        <v>2533</v>
      </c>
      <c r="AC35" s="3">
        <v>9168</v>
      </c>
      <c r="AD35" s="3">
        <v>18195</v>
      </c>
      <c r="AE35" s="3">
        <v>9965</v>
      </c>
      <c r="AF35" s="3">
        <v>6651</v>
      </c>
      <c r="AG35" s="3">
        <v>3184</v>
      </c>
      <c r="AH35" s="3">
        <v>460421</v>
      </c>
    </row>
    <row r="36" spans="1:34" ht="14.4" x14ac:dyDescent="0.3">
      <c r="A36" s="2" t="s">
        <v>68</v>
      </c>
      <c r="B36" t="s">
        <v>36</v>
      </c>
      <c r="C36" s="3">
        <v>12304</v>
      </c>
      <c r="D36" s="3">
        <v>1120</v>
      </c>
      <c r="E36" s="3">
        <v>2630</v>
      </c>
      <c r="F36" s="3">
        <v>6894</v>
      </c>
      <c r="G36" s="3">
        <v>11960</v>
      </c>
      <c r="H36">
        <v>949</v>
      </c>
      <c r="I36" s="3">
        <v>4911</v>
      </c>
      <c r="J36" s="3">
        <v>1429</v>
      </c>
      <c r="K36" s="3">
        <v>5398</v>
      </c>
      <c r="L36" s="3">
        <v>1009</v>
      </c>
      <c r="M36" s="3">
        <v>3406</v>
      </c>
      <c r="N36" s="3">
        <v>3388</v>
      </c>
      <c r="O36">
        <v>566</v>
      </c>
      <c r="P36" s="3">
        <v>31382</v>
      </c>
      <c r="Q36" s="3">
        <v>7094</v>
      </c>
      <c r="R36" s="3">
        <v>6558</v>
      </c>
      <c r="S36" s="3">
        <v>5545</v>
      </c>
      <c r="T36" s="3">
        <v>5374</v>
      </c>
      <c r="U36" s="3">
        <v>35430</v>
      </c>
      <c r="V36" s="3">
        <v>15431</v>
      </c>
      <c r="W36" s="3">
        <v>5624</v>
      </c>
      <c r="X36" s="3">
        <v>88046</v>
      </c>
      <c r="Y36" s="3">
        <v>158253</v>
      </c>
      <c r="Z36" s="3">
        <v>7904</v>
      </c>
      <c r="AA36" s="3">
        <v>1475</v>
      </c>
      <c r="AB36" s="3">
        <v>2504</v>
      </c>
      <c r="AC36" s="3">
        <v>9842</v>
      </c>
      <c r="AD36" s="3">
        <v>19026</v>
      </c>
      <c r="AE36" s="3">
        <v>10460</v>
      </c>
      <c r="AF36" s="3">
        <v>7038</v>
      </c>
      <c r="AG36" s="3">
        <v>3290</v>
      </c>
      <c r="AH36" s="3">
        <v>476595</v>
      </c>
    </row>
    <row r="37" spans="1:34" ht="14.4" x14ac:dyDescent="0.3">
      <c r="A37" s="2" t="s">
        <v>69</v>
      </c>
      <c r="B37" t="s">
        <v>36</v>
      </c>
      <c r="C37" s="3">
        <v>12356</v>
      </c>
      <c r="D37" s="3">
        <v>1119</v>
      </c>
      <c r="E37" s="3">
        <v>2721</v>
      </c>
      <c r="F37" s="3">
        <v>7152</v>
      </c>
      <c r="G37" s="3">
        <v>12267</v>
      </c>
      <c r="H37">
        <v>940</v>
      </c>
      <c r="I37" s="3">
        <v>4641</v>
      </c>
      <c r="J37" s="3">
        <v>1557</v>
      </c>
      <c r="K37" s="3">
        <v>5554</v>
      </c>
      <c r="L37" s="3">
        <v>1083</v>
      </c>
      <c r="M37" s="3">
        <v>3451</v>
      </c>
      <c r="N37" s="3">
        <v>3710</v>
      </c>
      <c r="O37">
        <v>584</v>
      </c>
      <c r="P37" s="3">
        <v>32621</v>
      </c>
      <c r="Q37" s="3">
        <v>7921</v>
      </c>
      <c r="R37" s="3">
        <v>6690</v>
      </c>
      <c r="S37" s="3">
        <v>5860</v>
      </c>
      <c r="T37" s="3">
        <v>5774</v>
      </c>
      <c r="U37" s="3">
        <v>37028</v>
      </c>
      <c r="V37" s="3">
        <v>15901</v>
      </c>
      <c r="W37" s="3">
        <v>5587</v>
      </c>
      <c r="X37" s="3">
        <v>91741</v>
      </c>
      <c r="Y37" s="3">
        <v>163242</v>
      </c>
      <c r="Z37" s="3">
        <v>8214</v>
      </c>
      <c r="AA37" s="3">
        <v>1558</v>
      </c>
      <c r="AB37" s="3">
        <v>2626</v>
      </c>
      <c r="AC37" s="3">
        <v>10683</v>
      </c>
      <c r="AD37" s="3">
        <v>19731</v>
      </c>
      <c r="AE37" s="3">
        <v>10949</v>
      </c>
      <c r="AF37" s="3">
        <v>7344</v>
      </c>
      <c r="AG37" s="3">
        <v>3428</v>
      </c>
      <c r="AH37" s="3">
        <v>494427</v>
      </c>
    </row>
    <row r="38" spans="1:34" ht="14.4" x14ac:dyDescent="0.3">
      <c r="A38" s="2" t="s">
        <v>70</v>
      </c>
      <c r="B38" t="s">
        <v>36</v>
      </c>
      <c r="C38" s="3">
        <v>12564</v>
      </c>
      <c r="D38" s="3">
        <v>1234</v>
      </c>
      <c r="E38" s="3">
        <v>2837</v>
      </c>
      <c r="F38" s="3">
        <v>7419</v>
      </c>
      <c r="G38" s="3">
        <v>12472</v>
      </c>
      <c r="H38">
        <v>927</v>
      </c>
      <c r="I38" s="3">
        <v>4705</v>
      </c>
      <c r="J38" s="3">
        <v>1607</v>
      </c>
      <c r="K38" s="3">
        <v>5530</v>
      </c>
      <c r="L38" s="3">
        <v>1168</v>
      </c>
      <c r="M38" s="3">
        <v>3466</v>
      </c>
      <c r="N38" s="3">
        <v>3797</v>
      </c>
      <c r="O38">
        <v>577</v>
      </c>
      <c r="P38" s="3">
        <v>34910</v>
      </c>
      <c r="Q38" s="3">
        <v>8588</v>
      </c>
      <c r="R38" s="3">
        <v>7147</v>
      </c>
      <c r="S38" s="3">
        <v>6294</v>
      </c>
      <c r="T38" s="3">
        <v>6217</v>
      </c>
      <c r="U38" s="3">
        <v>39209</v>
      </c>
      <c r="V38" s="3">
        <v>16405</v>
      </c>
      <c r="W38" s="3">
        <v>5605</v>
      </c>
      <c r="X38" s="3">
        <v>95259</v>
      </c>
      <c r="Y38" s="3">
        <v>167712</v>
      </c>
      <c r="Z38" s="3">
        <v>8698</v>
      </c>
      <c r="AA38" s="3">
        <v>1705</v>
      </c>
      <c r="AB38" s="3">
        <v>2726</v>
      </c>
      <c r="AC38" s="3">
        <v>11190</v>
      </c>
      <c r="AD38" s="3">
        <v>20380</v>
      </c>
      <c r="AE38" s="3">
        <v>11382</v>
      </c>
      <c r="AF38" s="3">
        <v>7505</v>
      </c>
      <c r="AG38" s="3">
        <v>3588</v>
      </c>
      <c r="AH38" s="3">
        <v>513193</v>
      </c>
    </row>
    <row r="39" spans="1:34" ht="14.4" x14ac:dyDescent="0.3">
      <c r="A39" s="2" t="s">
        <v>71</v>
      </c>
      <c r="B39" t="s">
        <v>36</v>
      </c>
      <c r="C39" s="3">
        <v>12800</v>
      </c>
      <c r="D39" s="3">
        <v>1263</v>
      </c>
      <c r="E39" s="3">
        <v>2938</v>
      </c>
      <c r="F39" s="3">
        <v>8577</v>
      </c>
      <c r="G39" s="3">
        <v>12682</v>
      </c>
      <c r="H39">
        <v>850</v>
      </c>
      <c r="I39" s="3">
        <v>4492</v>
      </c>
      <c r="J39" s="3">
        <v>1581</v>
      </c>
      <c r="K39" s="3">
        <v>5613</v>
      </c>
      <c r="L39" s="3">
        <v>1241</v>
      </c>
      <c r="M39" s="3">
        <v>3420</v>
      </c>
      <c r="N39" s="3">
        <v>3881</v>
      </c>
      <c r="O39">
        <v>561</v>
      </c>
      <c r="P39" s="3">
        <v>36455</v>
      </c>
      <c r="Q39" s="3">
        <v>9343</v>
      </c>
      <c r="R39" s="3">
        <v>7147</v>
      </c>
      <c r="S39" s="3">
        <v>6696</v>
      </c>
      <c r="T39" s="3">
        <v>6528</v>
      </c>
      <c r="U39" s="3">
        <v>41258</v>
      </c>
      <c r="V39" s="3">
        <v>16563</v>
      </c>
      <c r="W39" s="3">
        <v>5723</v>
      </c>
      <c r="X39" s="3">
        <v>97275</v>
      </c>
      <c r="Y39" s="3">
        <v>171972</v>
      </c>
      <c r="Z39" s="3">
        <v>9169</v>
      </c>
      <c r="AA39" s="3">
        <v>1987</v>
      </c>
      <c r="AB39" s="3">
        <v>2932</v>
      </c>
      <c r="AC39" s="3">
        <v>11534</v>
      </c>
      <c r="AD39" s="3">
        <v>20822</v>
      </c>
      <c r="AE39" s="3">
        <v>12219</v>
      </c>
      <c r="AF39" s="3">
        <v>7634</v>
      </c>
      <c r="AG39" s="3">
        <v>3810</v>
      </c>
      <c r="AH39" s="3">
        <v>529270</v>
      </c>
    </row>
    <row r="40" spans="1:34" ht="14.4" x14ac:dyDescent="0.3">
      <c r="A40" s="2" t="s">
        <v>72</v>
      </c>
      <c r="B40" t="s">
        <v>36</v>
      </c>
      <c r="C40" s="3">
        <v>14115</v>
      </c>
      <c r="D40" s="3">
        <v>1241</v>
      </c>
      <c r="E40" s="3">
        <v>2991</v>
      </c>
      <c r="F40" s="3">
        <v>10761</v>
      </c>
      <c r="G40" s="3">
        <v>12890</v>
      </c>
      <c r="H40">
        <v>828</v>
      </c>
      <c r="I40" s="3">
        <v>4216</v>
      </c>
      <c r="J40" s="3">
        <v>1559</v>
      </c>
      <c r="K40" s="3">
        <v>5679</v>
      </c>
      <c r="L40" s="3">
        <v>1311</v>
      </c>
      <c r="M40" s="3">
        <v>3415</v>
      </c>
      <c r="N40" s="3">
        <v>3918</v>
      </c>
      <c r="O40">
        <v>564</v>
      </c>
      <c r="P40" s="3">
        <v>37621</v>
      </c>
      <c r="Q40" s="3">
        <v>9938</v>
      </c>
      <c r="R40" s="3">
        <v>7336</v>
      </c>
      <c r="S40" s="3">
        <v>7059</v>
      </c>
      <c r="T40" s="3">
        <v>6882</v>
      </c>
      <c r="U40" s="3">
        <v>44088</v>
      </c>
      <c r="V40" s="3">
        <v>16857</v>
      </c>
      <c r="W40" s="3">
        <v>6107</v>
      </c>
      <c r="X40" s="3">
        <v>98003</v>
      </c>
      <c r="Y40" s="3">
        <v>176302</v>
      </c>
      <c r="Z40" s="3">
        <v>9876</v>
      </c>
      <c r="AA40" s="3">
        <v>2234</v>
      </c>
      <c r="AB40" s="3">
        <v>3065</v>
      </c>
      <c r="AC40" s="3">
        <v>11825</v>
      </c>
      <c r="AD40" s="3">
        <v>21273</v>
      </c>
      <c r="AE40" s="3">
        <v>12905</v>
      </c>
      <c r="AF40" s="3">
        <v>7965</v>
      </c>
      <c r="AG40" s="3">
        <v>4091</v>
      </c>
      <c r="AH40" s="3">
        <v>547090</v>
      </c>
    </row>
    <row r="41" spans="1:34" ht="14.4" x14ac:dyDescent="0.3">
      <c r="A41" s="2" t="s">
        <v>73</v>
      </c>
      <c r="B41" t="s">
        <v>36</v>
      </c>
      <c r="C41" s="3">
        <v>14664</v>
      </c>
      <c r="D41" s="3">
        <v>1342</v>
      </c>
      <c r="E41" s="3">
        <v>3048</v>
      </c>
      <c r="F41" s="3">
        <v>12225</v>
      </c>
      <c r="G41" s="3">
        <v>13083</v>
      </c>
      <c r="H41">
        <v>727</v>
      </c>
      <c r="I41" s="3">
        <v>4128</v>
      </c>
      <c r="J41" s="3">
        <v>1453</v>
      </c>
      <c r="K41" s="3">
        <v>5770</v>
      </c>
      <c r="L41" s="3">
        <v>1347</v>
      </c>
      <c r="M41" s="3">
        <v>3312</v>
      </c>
      <c r="N41" s="3">
        <v>3894</v>
      </c>
      <c r="O41">
        <v>529</v>
      </c>
      <c r="P41" s="3">
        <v>40009</v>
      </c>
      <c r="Q41" s="3">
        <v>10378</v>
      </c>
      <c r="R41" s="3">
        <v>7262</v>
      </c>
      <c r="S41" s="3">
        <v>7175</v>
      </c>
      <c r="T41" s="3">
        <v>6939</v>
      </c>
      <c r="U41" s="3">
        <v>46236</v>
      </c>
      <c r="V41" s="3">
        <v>17160</v>
      </c>
      <c r="W41" s="3">
        <v>7247</v>
      </c>
      <c r="X41" s="3">
        <v>98460</v>
      </c>
      <c r="Y41" s="3">
        <v>178918</v>
      </c>
      <c r="Z41" s="3">
        <v>9977</v>
      </c>
      <c r="AA41" s="3">
        <v>2341</v>
      </c>
      <c r="AB41" s="3">
        <v>3077</v>
      </c>
      <c r="AC41" s="3">
        <v>11919</v>
      </c>
      <c r="AD41" s="3">
        <v>22126</v>
      </c>
      <c r="AE41" s="3">
        <v>13242</v>
      </c>
      <c r="AF41" s="3">
        <v>8168</v>
      </c>
      <c r="AG41" s="3">
        <v>4067</v>
      </c>
      <c r="AH41" s="3">
        <v>560260</v>
      </c>
    </row>
    <row r="42" spans="1:34" ht="14.4" x14ac:dyDescent="0.3">
      <c r="A42" s="2" t="s">
        <v>74</v>
      </c>
      <c r="B42" t="s">
        <v>36</v>
      </c>
      <c r="C42" s="3">
        <v>14722</v>
      </c>
      <c r="D42" s="3">
        <v>1437</v>
      </c>
      <c r="E42" s="3">
        <v>2963</v>
      </c>
      <c r="F42" s="3">
        <v>12996</v>
      </c>
      <c r="G42" s="3">
        <v>12712</v>
      </c>
      <c r="H42">
        <v>708</v>
      </c>
      <c r="I42" s="3">
        <v>3929</v>
      </c>
      <c r="J42" s="3">
        <v>1395</v>
      </c>
      <c r="K42" s="3">
        <v>5514</v>
      </c>
      <c r="L42" s="3">
        <v>1312</v>
      </c>
      <c r="M42" s="3">
        <v>3245</v>
      </c>
      <c r="N42" s="3">
        <v>3721</v>
      </c>
      <c r="O42">
        <v>515</v>
      </c>
      <c r="P42" s="3">
        <v>41868</v>
      </c>
      <c r="Q42" s="3">
        <v>10286</v>
      </c>
      <c r="R42" s="3">
        <v>7206</v>
      </c>
      <c r="S42" s="3">
        <v>7260</v>
      </c>
      <c r="T42" s="3">
        <v>6956</v>
      </c>
      <c r="U42" s="3">
        <v>48511</v>
      </c>
      <c r="V42" s="3">
        <v>17279</v>
      </c>
      <c r="W42" s="3">
        <v>7944</v>
      </c>
      <c r="X42" s="3">
        <v>98150</v>
      </c>
      <c r="Y42" s="3">
        <v>180277</v>
      </c>
      <c r="Z42" s="3">
        <v>10243</v>
      </c>
      <c r="AA42" s="3">
        <v>2503</v>
      </c>
      <c r="AB42" s="3">
        <v>3173</v>
      </c>
      <c r="AC42" s="3">
        <v>12274</v>
      </c>
      <c r="AD42" s="3">
        <v>22847</v>
      </c>
      <c r="AE42" s="3">
        <v>13598</v>
      </c>
      <c r="AF42" s="3">
        <v>8539</v>
      </c>
      <c r="AG42" s="3">
        <v>4212</v>
      </c>
      <c r="AH42" s="3">
        <v>568297</v>
      </c>
    </row>
    <row r="43" spans="1:34" ht="14.4" x14ac:dyDescent="0.3">
      <c r="A43" s="2" t="s">
        <v>75</v>
      </c>
      <c r="B43" t="s">
        <v>36</v>
      </c>
      <c r="C43" s="3">
        <v>14604</v>
      </c>
      <c r="D43" s="3">
        <v>1509</v>
      </c>
      <c r="E43" s="3">
        <v>3161</v>
      </c>
      <c r="F43" s="3">
        <v>13154</v>
      </c>
      <c r="G43" s="3">
        <v>12338</v>
      </c>
      <c r="H43">
        <v>659</v>
      </c>
      <c r="I43" s="3">
        <v>3647</v>
      </c>
      <c r="J43" s="3">
        <v>1296</v>
      </c>
      <c r="K43" s="3">
        <v>5236</v>
      </c>
      <c r="L43" s="3">
        <v>1297</v>
      </c>
      <c r="M43" s="3">
        <v>3261</v>
      </c>
      <c r="N43" s="3">
        <v>3708</v>
      </c>
      <c r="O43">
        <v>482</v>
      </c>
      <c r="P43" s="3">
        <v>43327</v>
      </c>
      <c r="Q43" s="3">
        <v>9969</v>
      </c>
      <c r="R43" s="3">
        <v>7146</v>
      </c>
      <c r="S43" s="3">
        <v>7206</v>
      </c>
      <c r="T43" s="3">
        <v>6965</v>
      </c>
      <c r="U43" s="3">
        <v>50823</v>
      </c>
      <c r="V43" s="3">
        <v>17393</v>
      </c>
      <c r="W43" s="3">
        <v>8006</v>
      </c>
      <c r="X43" s="3">
        <v>97353</v>
      </c>
      <c r="Y43" s="3">
        <v>179866</v>
      </c>
      <c r="Z43" s="3">
        <v>10452</v>
      </c>
      <c r="AA43" s="3">
        <v>2484</v>
      </c>
      <c r="AB43" s="3">
        <v>3200</v>
      </c>
      <c r="AC43" s="3">
        <v>12746</v>
      </c>
      <c r="AD43" s="3">
        <v>23752</v>
      </c>
      <c r="AE43" s="3">
        <v>14203</v>
      </c>
      <c r="AF43" s="3">
        <v>8861</v>
      </c>
      <c r="AG43" s="3">
        <v>4330</v>
      </c>
      <c r="AH43" s="3">
        <v>572437</v>
      </c>
    </row>
    <row r="44" spans="1:34" ht="14.4" x14ac:dyDescent="0.3">
      <c r="A44" s="2" t="s">
        <v>76</v>
      </c>
      <c r="B44" t="s">
        <v>36</v>
      </c>
      <c r="C44" s="3">
        <v>14694</v>
      </c>
      <c r="D44" s="3">
        <v>1636</v>
      </c>
      <c r="E44" s="3">
        <v>3176</v>
      </c>
      <c r="F44" s="3">
        <v>13544</v>
      </c>
      <c r="G44" s="3">
        <v>12525</v>
      </c>
      <c r="H44">
        <v>646</v>
      </c>
      <c r="I44" s="3">
        <v>3538</v>
      </c>
      <c r="J44" s="3">
        <v>1219</v>
      </c>
      <c r="K44" s="3">
        <v>5192</v>
      </c>
      <c r="L44" s="3">
        <v>1278</v>
      </c>
      <c r="M44" s="3">
        <v>3252</v>
      </c>
      <c r="N44" s="3">
        <v>3829</v>
      </c>
      <c r="O44">
        <v>477</v>
      </c>
      <c r="P44" s="3">
        <v>45369</v>
      </c>
      <c r="Q44" s="3">
        <v>10184</v>
      </c>
      <c r="R44" s="3">
        <v>7206</v>
      </c>
      <c r="S44" s="3">
        <v>7338</v>
      </c>
      <c r="T44" s="3">
        <v>7245</v>
      </c>
      <c r="U44" s="3">
        <v>53145</v>
      </c>
      <c r="V44" s="3">
        <v>17729</v>
      </c>
      <c r="W44" s="3">
        <v>8685</v>
      </c>
      <c r="X44" s="3">
        <v>97105</v>
      </c>
      <c r="Y44" s="3">
        <v>181506</v>
      </c>
      <c r="Z44" s="3">
        <v>10617</v>
      </c>
      <c r="AA44" s="3">
        <v>2497</v>
      </c>
      <c r="AB44" s="3">
        <v>3289</v>
      </c>
      <c r="AC44" s="3">
        <v>13128</v>
      </c>
      <c r="AD44" s="3">
        <v>24367</v>
      </c>
      <c r="AE44" s="3">
        <v>14729</v>
      </c>
      <c r="AF44" s="3">
        <v>9413</v>
      </c>
      <c r="AG44" s="3">
        <v>4411</v>
      </c>
      <c r="AH44" s="3">
        <v>583004</v>
      </c>
    </row>
    <row r="45" spans="1:34" ht="14.4" x14ac:dyDescent="0.3">
      <c r="A45" s="2" t="s">
        <v>77</v>
      </c>
      <c r="B45" t="s">
        <v>36</v>
      </c>
      <c r="C45" s="3">
        <v>14948</v>
      </c>
      <c r="D45" s="3">
        <v>1750</v>
      </c>
      <c r="E45" s="3">
        <v>3265</v>
      </c>
      <c r="F45" s="3">
        <v>14035</v>
      </c>
      <c r="G45" s="3">
        <v>12544</v>
      </c>
      <c r="H45">
        <v>636</v>
      </c>
      <c r="I45" s="3">
        <v>3356</v>
      </c>
      <c r="J45" s="3">
        <v>1143</v>
      </c>
      <c r="K45" s="3">
        <v>5244</v>
      </c>
      <c r="L45" s="3">
        <v>1236</v>
      </c>
      <c r="M45" s="3">
        <v>3173</v>
      </c>
      <c r="N45" s="3">
        <v>3918</v>
      </c>
      <c r="O45">
        <v>471</v>
      </c>
      <c r="P45" s="3">
        <v>47079</v>
      </c>
      <c r="Q45" s="3">
        <v>10553</v>
      </c>
      <c r="R45" s="3">
        <v>7286</v>
      </c>
      <c r="S45" s="3">
        <v>7372</v>
      </c>
      <c r="T45" s="3">
        <v>7274</v>
      </c>
      <c r="U45" s="3">
        <v>54723</v>
      </c>
      <c r="V45" s="3">
        <v>18072</v>
      </c>
      <c r="W45" s="3">
        <v>9225</v>
      </c>
      <c r="X45" s="3">
        <v>99068</v>
      </c>
      <c r="Y45" s="3">
        <v>184415</v>
      </c>
      <c r="Z45" s="3">
        <v>10793</v>
      </c>
      <c r="AA45" s="3">
        <v>2616</v>
      </c>
      <c r="AB45" s="3">
        <v>3683</v>
      </c>
      <c r="AC45" s="3">
        <v>13309</v>
      </c>
      <c r="AD45" s="3">
        <v>24817</v>
      </c>
      <c r="AE45" s="3">
        <v>15025</v>
      </c>
      <c r="AF45" s="3">
        <v>9615</v>
      </c>
      <c r="AG45" s="3">
        <v>4403</v>
      </c>
      <c r="AH45" s="3">
        <v>595160</v>
      </c>
    </row>
    <row r="46" spans="1:34" ht="14.4" x14ac:dyDescent="0.3">
      <c r="A46" s="2" t="s">
        <v>78</v>
      </c>
      <c r="B46" t="s">
        <v>36</v>
      </c>
      <c r="C46" s="3">
        <v>15262</v>
      </c>
      <c r="D46" s="3">
        <v>1773</v>
      </c>
      <c r="E46" s="3">
        <v>3480</v>
      </c>
      <c r="F46" s="3">
        <v>14679</v>
      </c>
      <c r="G46" s="3">
        <v>12496</v>
      </c>
      <c r="H46">
        <v>607</v>
      </c>
      <c r="I46" s="3">
        <v>3100</v>
      </c>
      <c r="J46" s="3">
        <v>1055</v>
      </c>
      <c r="K46" s="3">
        <v>5513</v>
      </c>
      <c r="L46" s="3">
        <v>1192</v>
      </c>
      <c r="M46" s="3">
        <v>3099</v>
      </c>
      <c r="N46" s="3">
        <v>3975</v>
      </c>
      <c r="O46">
        <v>459</v>
      </c>
      <c r="P46" s="3">
        <v>48410</v>
      </c>
      <c r="Q46" s="3">
        <v>10911</v>
      </c>
      <c r="R46" s="3">
        <v>7344</v>
      </c>
      <c r="S46" s="3">
        <v>7550</v>
      </c>
      <c r="T46" s="3">
        <v>7210</v>
      </c>
      <c r="U46" s="3">
        <v>56469</v>
      </c>
      <c r="V46" s="3">
        <v>18689</v>
      </c>
      <c r="W46" s="3">
        <v>9941</v>
      </c>
      <c r="X46" s="3">
        <v>101412</v>
      </c>
      <c r="Y46" s="3">
        <v>188592</v>
      </c>
      <c r="Z46" s="3">
        <v>11310</v>
      </c>
      <c r="AA46" s="3">
        <v>2754</v>
      </c>
      <c r="AB46" s="3">
        <v>3797</v>
      </c>
      <c r="AC46" s="3">
        <v>13974</v>
      </c>
      <c r="AD46" s="3">
        <v>25542</v>
      </c>
      <c r="AE46" s="3">
        <v>15464</v>
      </c>
      <c r="AF46" s="3">
        <v>9598</v>
      </c>
      <c r="AG46" s="3">
        <v>4512</v>
      </c>
      <c r="AH46" s="3">
        <v>610281</v>
      </c>
    </row>
    <row r="47" spans="1:34" ht="14.4" x14ac:dyDescent="0.3">
      <c r="A47" s="2" t="s">
        <v>79</v>
      </c>
      <c r="B47" t="s">
        <v>36</v>
      </c>
      <c r="C47" s="3">
        <v>15669</v>
      </c>
      <c r="D47" s="3">
        <v>1787</v>
      </c>
      <c r="E47" s="3">
        <v>3691</v>
      </c>
      <c r="F47" s="3">
        <v>15471</v>
      </c>
      <c r="G47" s="3">
        <v>13076</v>
      </c>
      <c r="H47">
        <v>580</v>
      </c>
      <c r="I47" s="3">
        <v>2889</v>
      </c>
      <c r="J47">
        <v>971</v>
      </c>
      <c r="K47" s="3">
        <v>5447</v>
      </c>
      <c r="L47" s="3">
        <v>1165</v>
      </c>
      <c r="M47" s="3">
        <v>3015</v>
      </c>
      <c r="N47" s="3">
        <v>4057</v>
      </c>
      <c r="O47">
        <v>466</v>
      </c>
      <c r="P47" s="3">
        <v>49654</v>
      </c>
      <c r="Q47" s="3">
        <v>11223</v>
      </c>
      <c r="R47" s="3">
        <v>7419</v>
      </c>
      <c r="S47" s="3">
        <v>7616</v>
      </c>
      <c r="T47" s="3">
        <v>7330</v>
      </c>
      <c r="U47" s="3">
        <v>58985</v>
      </c>
      <c r="V47" s="3">
        <v>19452</v>
      </c>
      <c r="W47" s="3">
        <v>9649</v>
      </c>
      <c r="X47" s="3">
        <v>105294</v>
      </c>
      <c r="Y47" s="3">
        <v>193187</v>
      </c>
      <c r="Z47" s="3">
        <v>11820</v>
      </c>
      <c r="AA47" s="3">
        <v>2815</v>
      </c>
      <c r="AB47" s="3">
        <v>3909</v>
      </c>
      <c r="AC47" s="3">
        <v>14717</v>
      </c>
      <c r="AD47" s="3">
        <v>26298</v>
      </c>
      <c r="AE47" s="3">
        <v>15864</v>
      </c>
      <c r="AF47" s="3">
        <v>9682</v>
      </c>
      <c r="AG47" s="3">
        <v>4559</v>
      </c>
      <c r="AH47" s="3">
        <v>627939</v>
      </c>
    </row>
    <row r="48" spans="1:34" ht="14.4" x14ac:dyDescent="0.3">
      <c r="A48" s="2" t="s">
        <v>80</v>
      </c>
      <c r="B48" t="s">
        <v>36</v>
      </c>
      <c r="C48" s="3">
        <v>15968</v>
      </c>
      <c r="D48" s="3">
        <v>1780</v>
      </c>
      <c r="E48" s="3">
        <v>3995</v>
      </c>
      <c r="F48" s="3">
        <v>15635</v>
      </c>
      <c r="G48" s="3">
        <v>13366</v>
      </c>
      <c r="H48">
        <v>550</v>
      </c>
      <c r="I48" s="3">
        <v>2782</v>
      </c>
      <c r="J48">
        <v>894</v>
      </c>
      <c r="K48" s="3">
        <v>5429</v>
      </c>
      <c r="L48" s="3">
        <v>1152</v>
      </c>
      <c r="M48" s="3">
        <v>3062</v>
      </c>
      <c r="N48" s="3">
        <v>4189</v>
      </c>
      <c r="O48">
        <v>463</v>
      </c>
      <c r="P48" s="3">
        <v>50918</v>
      </c>
      <c r="Q48" s="3">
        <v>11771</v>
      </c>
      <c r="R48" s="3">
        <v>7610</v>
      </c>
      <c r="S48" s="3">
        <v>7638</v>
      </c>
      <c r="T48" s="3">
        <v>7682</v>
      </c>
      <c r="U48" s="3">
        <v>61732</v>
      </c>
      <c r="V48" s="3">
        <v>19562</v>
      </c>
      <c r="W48" s="3">
        <v>10288</v>
      </c>
      <c r="X48" s="3">
        <v>108139</v>
      </c>
      <c r="Y48" s="3">
        <v>198304</v>
      </c>
      <c r="Z48" s="3">
        <v>12497</v>
      </c>
      <c r="AA48" s="3">
        <v>3024</v>
      </c>
      <c r="AB48" s="3">
        <v>4109</v>
      </c>
      <c r="AC48" s="3">
        <v>15330</v>
      </c>
      <c r="AD48" s="3">
        <v>26973</v>
      </c>
      <c r="AE48" s="3">
        <v>16214</v>
      </c>
      <c r="AF48" s="3">
        <v>9798</v>
      </c>
      <c r="AG48" s="3">
        <v>4598</v>
      </c>
      <c r="AH48" s="3">
        <v>645620</v>
      </c>
    </row>
    <row r="49" spans="1:34" ht="14.4" x14ac:dyDescent="0.3">
      <c r="A49" s="2" t="s">
        <v>81</v>
      </c>
      <c r="B49" t="s">
        <v>36</v>
      </c>
      <c r="C49" s="3">
        <v>16094</v>
      </c>
      <c r="D49" s="3">
        <v>1958</v>
      </c>
      <c r="E49" s="3">
        <v>4022</v>
      </c>
      <c r="F49" s="3">
        <v>15183</v>
      </c>
      <c r="G49" s="3">
        <v>13417</v>
      </c>
      <c r="H49">
        <v>524</v>
      </c>
      <c r="I49" s="3">
        <v>2609</v>
      </c>
      <c r="J49">
        <v>835</v>
      </c>
      <c r="K49" s="3">
        <v>5410</v>
      </c>
      <c r="L49" s="3">
        <v>1218</v>
      </c>
      <c r="M49" s="3">
        <v>2973</v>
      </c>
      <c r="N49" s="3">
        <v>4379</v>
      </c>
      <c r="O49">
        <v>461</v>
      </c>
      <c r="P49" s="3">
        <v>51972</v>
      </c>
      <c r="Q49" s="3">
        <v>12224</v>
      </c>
      <c r="R49" s="3">
        <v>7685</v>
      </c>
      <c r="S49" s="3">
        <v>7690</v>
      </c>
      <c r="T49" s="3">
        <v>7821</v>
      </c>
      <c r="U49" s="3">
        <v>64004</v>
      </c>
      <c r="V49" s="3">
        <v>19798</v>
      </c>
      <c r="W49" s="3">
        <v>11475</v>
      </c>
      <c r="X49" s="3">
        <v>112502</v>
      </c>
      <c r="Y49" s="3">
        <v>204057</v>
      </c>
      <c r="Z49" s="3">
        <v>13115</v>
      </c>
      <c r="AA49" s="3">
        <v>3229</v>
      </c>
      <c r="AB49" s="3">
        <v>4282</v>
      </c>
      <c r="AC49" s="3">
        <v>15688</v>
      </c>
      <c r="AD49" s="3">
        <v>27570</v>
      </c>
      <c r="AE49" s="3">
        <v>16465</v>
      </c>
      <c r="AF49" s="3">
        <v>9748</v>
      </c>
      <c r="AG49" s="3">
        <v>4698</v>
      </c>
      <c r="AH49" s="3">
        <v>663419</v>
      </c>
    </row>
    <row r="50" spans="1:34" ht="14.4" x14ac:dyDescent="0.3">
      <c r="A50" s="2" t="s">
        <v>82</v>
      </c>
      <c r="B50" t="s">
        <v>36</v>
      </c>
      <c r="C50" s="3">
        <v>16733</v>
      </c>
      <c r="D50" s="3">
        <v>2031</v>
      </c>
      <c r="E50" s="3">
        <v>4257</v>
      </c>
      <c r="F50" s="3">
        <v>14689</v>
      </c>
      <c r="G50" s="3">
        <v>13680</v>
      </c>
      <c r="H50">
        <v>517</v>
      </c>
      <c r="I50" s="3">
        <v>2586</v>
      </c>
      <c r="J50">
        <v>798</v>
      </c>
      <c r="K50" s="3">
        <v>5379</v>
      </c>
      <c r="L50" s="3">
        <v>1262</v>
      </c>
      <c r="M50" s="3">
        <v>2978</v>
      </c>
      <c r="N50" s="3">
        <v>4515</v>
      </c>
      <c r="O50">
        <v>466</v>
      </c>
      <c r="P50" s="3">
        <v>53005</v>
      </c>
      <c r="Q50" s="3">
        <v>13295</v>
      </c>
      <c r="R50" s="3">
        <v>8043</v>
      </c>
      <c r="S50" s="3">
        <v>7887</v>
      </c>
      <c r="T50" s="3">
        <v>7987</v>
      </c>
      <c r="U50" s="3">
        <v>67166</v>
      </c>
      <c r="V50" s="3">
        <v>20296</v>
      </c>
      <c r="W50" s="3">
        <v>12335</v>
      </c>
      <c r="X50" s="3">
        <v>115390</v>
      </c>
      <c r="Y50" s="3">
        <v>210068</v>
      </c>
      <c r="Z50" s="3">
        <v>14290</v>
      </c>
      <c r="AA50" s="3">
        <v>3407</v>
      </c>
      <c r="AB50" s="3">
        <v>4448</v>
      </c>
      <c r="AC50" s="3">
        <v>16283</v>
      </c>
      <c r="AD50" s="3">
        <v>28626</v>
      </c>
      <c r="AE50" s="3">
        <v>16593</v>
      </c>
      <c r="AF50" s="3">
        <v>9915</v>
      </c>
      <c r="AG50" s="3">
        <v>4756</v>
      </c>
      <c r="AH50" s="3">
        <v>683811</v>
      </c>
    </row>
    <row r="51" spans="1:34" ht="14.4" x14ac:dyDescent="0.3">
      <c r="A51" s="2" t="s">
        <v>83</v>
      </c>
      <c r="B51" t="s">
        <v>36</v>
      </c>
      <c r="C51" s="3">
        <v>16791</v>
      </c>
      <c r="D51" s="3">
        <v>2157</v>
      </c>
      <c r="E51" s="3">
        <v>4841</v>
      </c>
      <c r="F51" s="3">
        <v>14226</v>
      </c>
      <c r="G51" s="3">
        <v>14102</v>
      </c>
      <c r="H51">
        <v>504</v>
      </c>
      <c r="I51" s="3">
        <v>2631</v>
      </c>
      <c r="J51">
        <v>740</v>
      </c>
      <c r="K51" s="3">
        <v>5661</v>
      </c>
      <c r="L51" s="3">
        <v>1263</v>
      </c>
      <c r="M51" s="3">
        <v>2955</v>
      </c>
      <c r="N51" s="3">
        <v>4769</v>
      </c>
      <c r="O51">
        <v>475</v>
      </c>
      <c r="P51" s="3">
        <v>55220</v>
      </c>
      <c r="Q51" s="3">
        <v>13970</v>
      </c>
      <c r="R51" s="3">
        <v>8294</v>
      </c>
      <c r="S51" s="3">
        <v>8172</v>
      </c>
      <c r="T51" s="3">
        <v>8396</v>
      </c>
      <c r="U51" s="3">
        <v>70402</v>
      </c>
      <c r="V51" s="3">
        <v>20760</v>
      </c>
      <c r="W51" s="3">
        <v>13296</v>
      </c>
      <c r="X51" s="3">
        <v>117936</v>
      </c>
      <c r="Y51" s="3">
        <v>215736</v>
      </c>
      <c r="Z51" s="3">
        <v>15399</v>
      </c>
      <c r="AA51" s="3">
        <v>3639</v>
      </c>
      <c r="AB51" s="3">
        <v>4830</v>
      </c>
      <c r="AC51" s="3">
        <v>17166</v>
      </c>
      <c r="AD51" s="3">
        <v>29549</v>
      </c>
      <c r="AE51" s="3">
        <v>16929</v>
      </c>
      <c r="AF51" s="3">
        <v>10402</v>
      </c>
      <c r="AG51" s="3">
        <v>4816</v>
      </c>
      <c r="AH51" s="3">
        <v>705747</v>
      </c>
    </row>
    <row r="52" spans="1:34" ht="14.4" x14ac:dyDescent="0.3">
      <c r="A52" s="2" t="s">
        <v>84</v>
      </c>
      <c r="B52" t="s">
        <v>36</v>
      </c>
      <c r="C52" s="3">
        <v>17083</v>
      </c>
      <c r="D52" s="3">
        <v>2427</v>
      </c>
      <c r="E52" s="3">
        <v>4971</v>
      </c>
      <c r="F52" s="3">
        <v>13773</v>
      </c>
      <c r="G52" s="3">
        <v>14501</v>
      </c>
      <c r="H52">
        <v>505</v>
      </c>
      <c r="I52" s="3">
        <v>2677</v>
      </c>
      <c r="J52">
        <v>696</v>
      </c>
      <c r="K52" s="3">
        <v>5686</v>
      </c>
      <c r="L52" s="3">
        <v>1280</v>
      </c>
      <c r="M52" s="3">
        <v>3074</v>
      </c>
      <c r="N52" s="3">
        <v>5027</v>
      </c>
      <c r="O52">
        <v>491</v>
      </c>
      <c r="P52" s="3">
        <v>57133</v>
      </c>
      <c r="Q52" s="3">
        <v>15355</v>
      </c>
      <c r="R52" s="3">
        <v>8945</v>
      </c>
      <c r="S52" s="3">
        <v>8480</v>
      </c>
      <c r="T52" s="3">
        <v>8813</v>
      </c>
      <c r="U52" s="3">
        <v>73215</v>
      </c>
      <c r="V52" s="3">
        <v>21152</v>
      </c>
      <c r="W52" s="3">
        <v>14332</v>
      </c>
      <c r="X52" s="3">
        <v>120729</v>
      </c>
      <c r="Y52" s="3">
        <v>221794</v>
      </c>
      <c r="Z52" s="3">
        <v>16596</v>
      </c>
      <c r="AA52" s="3">
        <v>3806</v>
      </c>
      <c r="AB52" s="3">
        <v>5032</v>
      </c>
      <c r="AC52" s="3">
        <v>18030</v>
      </c>
      <c r="AD52" s="3">
        <v>30548</v>
      </c>
      <c r="AE52" s="3">
        <v>17197</v>
      </c>
      <c r="AF52" s="3">
        <v>10720</v>
      </c>
      <c r="AG52" s="3">
        <v>4861</v>
      </c>
      <c r="AH52" s="3">
        <v>728263</v>
      </c>
    </row>
    <row r="53" spans="1:34" ht="14.4" x14ac:dyDescent="0.3">
      <c r="A53" s="2" t="s">
        <v>85</v>
      </c>
      <c r="B53" t="s">
        <v>36</v>
      </c>
      <c r="C53" s="3">
        <v>17137</v>
      </c>
      <c r="D53" s="3">
        <v>2613</v>
      </c>
      <c r="E53" s="3">
        <v>5062</v>
      </c>
      <c r="F53" s="3">
        <v>13301</v>
      </c>
      <c r="G53" s="3">
        <v>14514</v>
      </c>
      <c r="H53">
        <v>480</v>
      </c>
      <c r="I53" s="3">
        <v>2727</v>
      </c>
      <c r="J53">
        <v>666</v>
      </c>
      <c r="K53" s="3">
        <v>5537</v>
      </c>
      <c r="L53" s="3">
        <v>1239</v>
      </c>
      <c r="M53" s="3">
        <v>3000</v>
      </c>
      <c r="N53" s="3">
        <v>5291</v>
      </c>
      <c r="O53">
        <v>476</v>
      </c>
      <c r="P53" s="3">
        <v>59211</v>
      </c>
      <c r="Q53" s="3">
        <v>16717</v>
      </c>
      <c r="R53" s="3">
        <v>9511</v>
      </c>
      <c r="S53" s="3">
        <v>8728</v>
      </c>
      <c r="T53" s="3">
        <v>9035</v>
      </c>
      <c r="U53" s="3">
        <v>75707</v>
      </c>
      <c r="V53" s="3">
        <v>21578</v>
      </c>
      <c r="W53" s="3">
        <v>14453</v>
      </c>
      <c r="X53" s="3">
        <v>123343</v>
      </c>
      <c r="Y53" s="3">
        <v>227866</v>
      </c>
      <c r="Z53" s="3">
        <v>17845</v>
      </c>
      <c r="AA53" s="3">
        <v>3892</v>
      </c>
      <c r="AB53" s="3">
        <v>5118</v>
      </c>
      <c r="AC53" s="3">
        <v>18897</v>
      </c>
      <c r="AD53" s="3">
        <v>31400</v>
      </c>
      <c r="AE53" s="3">
        <v>17694</v>
      </c>
      <c r="AF53" s="3">
        <v>10964</v>
      </c>
      <c r="AG53" s="3">
        <v>4883</v>
      </c>
      <c r="AH53" s="3">
        <v>748037</v>
      </c>
    </row>
    <row r="54" spans="1:34" ht="14.4" x14ac:dyDescent="0.3">
      <c r="A54" s="2" t="s">
        <v>86</v>
      </c>
      <c r="B54" t="s">
        <v>36</v>
      </c>
      <c r="C54" s="3">
        <v>17349</v>
      </c>
      <c r="D54" s="3">
        <v>2998</v>
      </c>
      <c r="E54" s="3">
        <v>5585</v>
      </c>
      <c r="F54" s="3">
        <v>12703</v>
      </c>
      <c r="G54" s="3">
        <v>14632</v>
      </c>
      <c r="H54">
        <v>511</v>
      </c>
      <c r="I54" s="3">
        <v>2921</v>
      </c>
      <c r="J54">
        <v>644</v>
      </c>
      <c r="K54" s="3">
        <v>3438</v>
      </c>
      <c r="L54" s="3">
        <v>1254</v>
      </c>
      <c r="M54" s="3">
        <v>3052</v>
      </c>
      <c r="N54" s="3">
        <v>5639</v>
      </c>
      <c r="O54">
        <v>514</v>
      </c>
      <c r="P54" s="3">
        <v>62351</v>
      </c>
      <c r="Q54" s="3">
        <v>18729</v>
      </c>
      <c r="R54" s="3">
        <v>11954</v>
      </c>
      <c r="S54" s="3">
        <v>9208</v>
      </c>
      <c r="T54" s="3">
        <v>9528</v>
      </c>
      <c r="U54" s="3">
        <v>78496</v>
      </c>
      <c r="V54" s="3">
        <v>22288</v>
      </c>
      <c r="W54" s="3">
        <v>17678</v>
      </c>
      <c r="X54" s="3">
        <v>123009</v>
      </c>
      <c r="Y54" s="3">
        <v>234011</v>
      </c>
      <c r="Z54" s="3">
        <v>19646</v>
      </c>
      <c r="AA54" s="3">
        <v>4288</v>
      </c>
      <c r="AB54" s="3">
        <v>5406</v>
      </c>
      <c r="AC54" s="3">
        <v>20068</v>
      </c>
      <c r="AD54" s="3">
        <v>32468</v>
      </c>
      <c r="AE54" s="3">
        <v>18482</v>
      </c>
      <c r="AF54" s="3">
        <v>11199</v>
      </c>
      <c r="AG54" s="3">
        <v>5047</v>
      </c>
      <c r="AH54" s="3">
        <v>772651</v>
      </c>
    </row>
    <row r="55" spans="1:34" ht="14.4" x14ac:dyDescent="0.3">
      <c r="A55" s="2" t="s">
        <v>87</v>
      </c>
      <c r="B55" t="s">
        <v>36</v>
      </c>
      <c r="C55" s="3">
        <v>17607</v>
      </c>
      <c r="D55" s="3">
        <v>3273</v>
      </c>
      <c r="E55" s="3">
        <v>6236</v>
      </c>
      <c r="F55" s="3">
        <v>12416</v>
      </c>
      <c r="G55" s="3">
        <v>14733</v>
      </c>
      <c r="H55">
        <v>516</v>
      </c>
      <c r="I55" s="3">
        <v>3001</v>
      </c>
      <c r="J55">
        <v>619</v>
      </c>
      <c r="K55" s="3">
        <v>3539</v>
      </c>
      <c r="L55" s="3">
        <v>1227</v>
      </c>
      <c r="M55" s="3">
        <v>3089</v>
      </c>
      <c r="N55" s="3">
        <v>5950</v>
      </c>
      <c r="O55">
        <v>522</v>
      </c>
      <c r="P55" s="3">
        <v>64997</v>
      </c>
      <c r="Q55" s="3">
        <v>20599</v>
      </c>
      <c r="R55" s="3">
        <v>12072</v>
      </c>
      <c r="S55" s="3">
        <v>9650</v>
      </c>
      <c r="T55" s="3">
        <v>9945</v>
      </c>
      <c r="U55" s="3">
        <v>80770</v>
      </c>
      <c r="V55" s="3">
        <v>22657</v>
      </c>
      <c r="W55" s="3">
        <v>20809</v>
      </c>
      <c r="X55" s="3">
        <v>124083</v>
      </c>
      <c r="Y55" s="3">
        <v>240261</v>
      </c>
      <c r="Z55" s="3">
        <v>21532</v>
      </c>
      <c r="AA55" s="3">
        <v>4542</v>
      </c>
      <c r="AB55" s="3">
        <v>5532</v>
      </c>
      <c r="AC55" s="3">
        <v>21034</v>
      </c>
      <c r="AD55" s="3">
        <v>33292</v>
      </c>
      <c r="AE55" s="3">
        <v>19342</v>
      </c>
      <c r="AF55" s="3">
        <v>11722</v>
      </c>
      <c r="AG55" s="3">
        <v>5195</v>
      </c>
      <c r="AH55" s="3">
        <v>796896</v>
      </c>
    </row>
    <row r="56" spans="1:34" ht="14.4" x14ac:dyDescent="0.3">
      <c r="A56" s="2" t="s">
        <v>88</v>
      </c>
      <c r="B56" t="s">
        <v>36</v>
      </c>
      <c r="C56">
        <f>C55*($AH$56/$AH$55)</f>
        <v>18076.728571858814</v>
      </c>
      <c r="D56">
        <f>D55*($AH$56/$AH$55)</f>
        <v>3360.318771834719</v>
      </c>
      <c r="E56">
        <f>E55*($AH$56/$AH$55)</f>
        <v>6402.3672047544478</v>
      </c>
      <c r="F56">
        <f>F55*($AH$56/$AH$55)</f>
        <v>12747.240412801671</v>
      </c>
      <c r="G56">
        <f>G55*($AH$56/$AH$55)</f>
        <v>15126.054526563064</v>
      </c>
      <c r="H56">
        <f>H55*($AH$56/$AH$55)</f>
        <v>529.76611251656425</v>
      </c>
      <c r="I56">
        <f>I55*($AH$56/$AH$55)</f>
        <v>3081.0622163996309</v>
      </c>
      <c r="J56">
        <f>J55*($AH$56/$AH$55)</f>
        <v>635.51399931735136</v>
      </c>
      <c r="K56">
        <f>K55*($AH$56/$AH$55)</f>
        <v>3633.4152561940332</v>
      </c>
      <c r="L56">
        <f>L55*($AH$56/$AH$55)</f>
        <v>1259.7345349957836</v>
      </c>
      <c r="M56">
        <f>M55*($AH$56/$AH$55)</f>
        <v>3171.4099255109827</v>
      </c>
      <c r="N56">
        <f>N55*($AH$56/$AH$55)</f>
        <v>6108.7371501425532</v>
      </c>
      <c r="O56">
        <f>O55*($AH$56/$AH$55)</f>
        <v>535.92618359233825</v>
      </c>
      <c r="P56">
        <f>P55*($AH$56/$AH$55)</f>
        <v>66731.023285347153</v>
      </c>
      <c r="Q56">
        <f>Q55*($AH$56/$AH$55)</f>
        <v>21148.550681644781</v>
      </c>
      <c r="R56">
        <f>R55*($AH$56/$AH$55)</f>
        <v>12394.063004457295</v>
      </c>
      <c r="S56">
        <f>S55*($AH$56/$AH$55)</f>
        <v>9907.4476468698558</v>
      </c>
      <c r="T56">
        <f>T55*($AH$56/$AH$55)</f>
        <v>10210.317808095411</v>
      </c>
      <c r="U56">
        <f>U55*($AH$56/$AH$55)</f>
        <v>82924.823465044377</v>
      </c>
      <c r="V56">
        <f>V55*($AH$56/$AH$55)</f>
        <v>23261.455060635264</v>
      </c>
      <c r="W56">
        <f>W55*($AH$56/$AH$55)</f>
        <v>21364.153169296871</v>
      </c>
      <c r="X56">
        <f>X55*($AH$56/$AH$55)</f>
        <v>127393.34988254428</v>
      </c>
      <c r="Y56">
        <f>Y55*($AH$56/$AH$55)</f>
        <v>246670.8061227563</v>
      </c>
      <c r="Z56">
        <f>Z55*($AH$56/$AH$55)</f>
        <v>22106.441733927641</v>
      </c>
      <c r="AA56">
        <f>AA55*($AH$56/$AH$55)</f>
        <v>4663.1738043609203</v>
      </c>
      <c r="AB56">
        <f>AB55*($AH$56/$AH$55)</f>
        <v>5679.5855318636313</v>
      </c>
      <c r="AC56">
        <f>AC55*($AH$56/$AH$55)</f>
        <v>21595.155834638397</v>
      </c>
      <c r="AD56">
        <f>AD55*($AH$56/$AH$55)</f>
        <v>34180.181042444689</v>
      </c>
      <c r="AE56">
        <f>AE55*($AH$56/$AH$55)</f>
        <v>19858.015791270129</v>
      </c>
      <c r="AF56">
        <f>AF55*($AH$56/$AH$55)</f>
        <v>12034.725525037145</v>
      </c>
      <c r="AG56">
        <f>AG55*($AH$56/$AH$55)</f>
        <v>5333.5948731076578</v>
      </c>
      <c r="AH56" s="3">
        <v>818156</v>
      </c>
    </row>
    <row r="57" spans="1:34" ht="14.4" x14ac:dyDescent="0.3">
      <c r="A57" s="2" t="s">
        <v>110</v>
      </c>
      <c r="C57">
        <f>C56*0.973743293123787</f>
        <v>17602.093208466653</v>
      </c>
      <c r="D57">
        <f t="shared" ref="D57:AH57" si="0">D56*0.973743293123787</f>
        <v>3272.0878668320188</v>
      </c>
      <c r="E57">
        <f t="shared" si="0"/>
        <v>6234.2621257453311</v>
      </c>
      <c r="F57">
        <f t="shared" si="0"/>
        <v>12412.539857802121</v>
      </c>
      <c r="G57">
        <f t="shared" si="0"/>
        <v>14728.894146665483</v>
      </c>
      <c r="H57">
        <f t="shared" si="0"/>
        <v>515.856198987266</v>
      </c>
      <c r="I57">
        <f t="shared" si="0"/>
        <v>3000.1636689162506</v>
      </c>
      <c r="J57">
        <f t="shared" si="0"/>
        <v>618.82749452154587</v>
      </c>
      <c r="K57">
        <f t="shared" si="0"/>
        <v>3538.0137368525861</v>
      </c>
      <c r="L57">
        <f t="shared" si="0"/>
        <v>1226.658054568557</v>
      </c>
      <c r="M57">
        <f t="shared" si="0"/>
        <v>3088.1391447125284</v>
      </c>
      <c r="N57">
        <f t="shared" si="0"/>
        <v>5948.3418294074281</v>
      </c>
      <c r="O57">
        <f t="shared" si="0"/>
        <v>521.85452688246676</v>
      </c>
      <c r="P57">
        <f t="shared" si="0"/>
        <v>64978.88636739405</v>
      </c>
      <c r="Q57">
        <f t="shared" si="0"/>
        <v>20593.259385540099</v>
      </c>
      <c r="R57">
        <f t="shared" si="0"/>
        <v>12068.635725143946</v>
      </c>
      <c r="S57">
        <f t="shared" si="0"/>
        <v>9647.3106981145684</v>
      </c>
      <c r="T57">
        <f t="shared" si="0"/>
        <v>9942.2284862952729</v>
      </c>
      <c r="U57">
        <f t="shared" si="0"/>
        <v>80747.490682560994</v>
      </c>
      <c r="V57">
        <f t="shared" si="0"/>
        <v>22650.685853593965</v>
      </c>
      <c r="W57">
        <f t="shared" si="0"/>
        <v>20803.200861872127</v>
      </c>
      <c r="X57">
        <f t="shared" si="0"/>
        <v>124048.42003669948</v>
      </c>
      <c r="Y57">
        <f t="shared" si="0"/>
        <v>240194.04307147194</v>
      </c>
      <c r="Z57">
        <f t="shared" si="0"/>
        <v>21525.999373243823</v>
      </c>
      <c r="AA57">
        <f t="shared" si="0"/>
        <v>4540.7342166669805</v>
      </c>
      <c r="AB57">
        <f t="shared" si="0"/>
        <v>5530.4583193751077</v>
      </c>
      <c r="AC57">
        <f t="shared" si="0"/>
        <v>21028.138157942158</v>
      </c>
      <c r="AD57">
        <f t="shared" si="0"/>
        <v>33282.722047837327</v>
      </c>
      <c r="AE57">
        <f t="shared" si="0"/>
        <v>19336.609691495541</v>
      </c>
      <c r="AF57">
        <f t="shared" si="0"/>
        <v>11718.733264590566</v>
      </c>
      <c r="AG57">
        <f t="shared" si="0"/>
        <v>5193.5522359279976</v>
      </c>
      <c r="AH57">
        <f t="shared" si="0"/>
        <v>796673.91772898508</v>
      </c>
    </row>
    <row r="58" spans="1:34" ht="14.4" customHeight="1" x14ac:dyDescent="0.3">
      <c r="A58" s="7" t="s">
        <v>89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4" ht="14.4" customHeight="1" x14ac:dyDescent="0.3">
      <c r="A59" s="8" t="s">
        <v>90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spans="1:34" ht="14.4" customHeight="1" x14ac:dyDescent="0.3">
      <c r="A60" s="8" t="s">
        <v>91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spans="1:34" ht="14.4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 spans="1:34" ht="14.4" customHeight="1" x14ac:dyDescent="0.3">
      <c r="A62" s="7" t="s">
        <v>92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1:34" ht="14.4" customHeight="1" x14ac:dyDescent="0.3">
      <c r="A63" s="8" t="s">
        <v>93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spans="1:34" ht="14.4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spans="1:34" ht="14.4" customHeight="1" x14ac:dyDescent="0.3">
      <c r="A65" s="8" t="s">
        <v>94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spans="1:34" ht="14.4" customHeight="1" x14ac:dyDescent="0.3">
      <c r="A66" s="8" t="s">
        <v>95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spans="1:34" ht="14.4" customHeight="1" x14ac:dyDescent="0.3">
      <c r="A67" s="8" t="s">
        <v>96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spans="1:34" ht="14.4" customHeight="1" x14ac:dyDescent="0.3">
      <c r="A68" s="8" t="s">
        <v>97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spans="1:34" ht="14.4" customHeight="1" x14ac:dyDescent="0.3">
      <c r="A69" s="8" t="s">
        <v>98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 spans="1:34" ht="14.4" customHeight="1" x14ac:dyDescent="0.3">
      <c r="A70" s="8" t="s">
        <v>99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 spans="1:34" ht="14.4" customHeight="1" x14ac:dyDescent="0.3">
      <c r="A71" s="8" t="s">
        <v>100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 spans="1:34" ht="14.4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spans="1:34" ht="14.4" customHeight="1" x14ac:dyDescent="0.3">
      <c r="A73" s="8" t="s">
        <v>101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 spans="1:34" ht="14.4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spans="1:34" ht="14.4" customHeight="1" x14ac:dyDescent="0.3">
      <c r="A75" s="8" t="s">
        <v>102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spans="1:34" ht="14.4" customHeight="1" x14ac:dyDescent="0.3">
      <c r="A76" s="8" t="s">
        <v>103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spans="1:34" ht="14.4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spans="1:34" ht="14.4" customHeight="1" x14ac:dyDescent="0.3">
      <c r="A78" s="8" t="s">
        <v>104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spans="1:34" ht="14.4" customHeight="1" x14ac:dyDescent="0.3">
      <c r="A79" s="8" t="s">
        <v>105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spans="1:34" ht="14.4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spans="1:34" ht="14.4" customHeight="1" x14ac:dyDescent="0.3">
      <c r="A81" s="8" t="s">
        <v>106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 spans="1:34" ht="14.4" customHeight="1" x14ac:dyDescent="0.3">
      <c r="A82" s="8" t="s">
        <v>107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spans="1:34" ht="14.4" customHeight="1" x14ac:dyDescent="0.3">
      <c r="A83" s="8" t="s">
        <v>108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spans="1:34" ht="14.4" customHeight="1" x14ac:dyDescent="0.3">
      <c r="A84" s="9" t="s">
        <v>109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 spans="1:34" ht="14.4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 spans="1:34" ht="14.4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</sheetData>
  <mergeCells count="32">
    <mergeCell ref="A85:AH85"/>
    <mergeCell ref="A86:AH86"/>
    <mergeCell ref="A79:AH79"/>
    <mergeCell ref="A80:AH80"/>
    <mergeCell ref="A81:AH81"/>
    <mergeCell ref="A82:AH82"/>
    <mergeCell ref="A83:AH83"/>
    <mergeCell ref="A84:AH84"/>
    <mergeCell ref="A73:AH73"/>
    <mergeCell ref="A74:AH74"/>
    <mergeCell ref="A75:AH75"/>
    <mergeCell ref="A76:AH76"/>
    <mergeCell ref="A77:AH77"/>
    <mergeCell ref="A78:AH78"/>
    <mergeCell ref="A67:AH67"/>
    <mergeCell ref="A68:AH68"/>
    <mergeCell ref="A69:AH69"/>
    <mergeCell ref="A70:AH70"/>
    <mergeCell ref="A71:AH71"/>
    <mergeCell ref="A72:AH72"/>
    <mergeCell ref="A61:AH61"/>
    <mergeCell ref="A62:AH62"/>
    <mergeCell ref="A63:AH63"/>
    <mergeCell ref="A64:AH64"/>
    <mergeCell ref="A65:AH65"/>
    <mergeCell ref="A66:AH66"/>
    <mergeCell ref="A1:AH1"/>
    <mergeCell ref="A2:A3"/>
    <mergeCell ref="B2:AH2"/>
    <mergeCell ref="A58:AH58"/>
    <mergeCell ref="A59:AH59"/>
    <mergeCell ref="A60:AH60"/>
  </mergeCells>
  <phoneticPr fontId="19" type="noConversion"/>
  <hyperlinks>
    <hyperlink ref="A84" r:id="rId1" display="mailto:info@stats.govt.nz" xr:uid="{68E7C69A-89C6-4207-817C-40B61BD8F0E8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Hogan</dc:creator>
  <cp:lastModifiedBy>James Hogan</cp:lastModifiedBy>
  <dcterms:created xsi:type="dcterms:W3CDTF">2025-10-09T01:45:52Z</dcterms:created>
  <dcterms:modified xsi:type="dcterms:W3CDTF">2025-10-09T01:45:52Z</dcterms:modified>
</cp:coreProperties>
</file>