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Projects\GDP_Analysis\Adhoc_Queries\"/>
    </mc:Choice>
  </mc:AlternateContent>
  <xr:revisionPtr revIDLastSave="0" documentId="13_ncr:9_{7854D070-069F-4F33-9208-69F615385D2A}" xr6:coauthVersionLast="47" xr6:coauthVersionMax="47" xr10:uidLastSave="{00000000-0000-0000-0000-000000000000}"/>
  <bookViews>
    <workbookView xWindow="-108" yWindow="-108" windowWidth="23256" windowHeight="13896" xr2:uid="{239963AC-E586-4D40-91E9-D7327A1935EC}"/>
  </bookViews>
  <sheets>
    <sheet name="Sheet1" sheetId="2" r:id="rId1"/>
    <sheet name="Budget_Constraint" sheetId="1" r:id="rId2"/>
  </sheets>
  <calcPr calcId="0"/>
  <pivotCaches>
    <pivotCache cacheId="10" r:id="rId3"/>
  </pivotCaches>
</workbook>
</file>

<file path=xl/calcChain.xml><?xml version="1.0" encoding="utf-8"?>
<calcChain xmlns="http://schemas.openxmlformats.org/spreadsheetml/2006/main">
  <c r="C225" i="2" l="1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B225" i="2"/>
  <c r="AN165" i="2"/>
  <c r="AH165" i="2"/>
  <c r="AI165" i="2"/>
  <c r="AJ165" i="2"/>
  <c r="AK165" i="2"/>
  <c r="AL165" i="2"/>
  <c r="AM165" i="2"/>
  <c r="G255" i="2"/>
  <c r="H255" i="2"/>
  <c r="G252" i="2"/>
  <c r="H252" i="2"/>
  <c r="H254" i="2" s="1"/>
  <c r="G243" i="2"/>
  <c r="G238" i="2"/>
  <c r="H242" i="2"/>
  <c r="G242" i="2"/>
  <c r="H241" i="2"/>
  <c r="H243" i="2" s="1"/>
  <c r="G241" i="2"/>
  <c r="H237" i="2"/>
  <c r="G237" i="2"/>
  <c r="H236" i="2"/>
  <c r="G236" i="2"/>
  <c r="A198" i="2"/>
  <c r="A213" i="2" s="1"/>
  <c r="A222" i="2" s="1"/>
  <c r="B198" i="2"/>
  <c r="C198" i="2"/>
  <c r="D198" i="2"/>
  <c r="E198" i="2"/>
  <c r="F198" i="2"/>
  <c r="G198" i="2"/>
  <c r="I198" i="2"/>
  <c r="J198" i="2"/>
  <c r="K198" i="2"/>
  <c r="L198" i="2"/>
  <c r="N198" i="2"/>
  <c r="O198" i="2"/>
  <c r="P198" i="2"/>
  <c r="Q198" i="2"/>
  <c r="R198" i="2"/>
  <c r="S198" i="2"/>
  <c r="T198" i="2"/>
  <c r="U198" i="2"/>
  <c r="V198" i="2"/>
  <c r="W198" i="2"/>
  <c r="X198" i="2"/>
  <c r="A199" i="2"/>
  <c r="B199" i="2"/>
  <c r="C199" i="2"/>
  <c r="D199" i="2"/>
  <c r="E199" i="2"/>
  <c r="F199" i="2"/>
  <c r="G199" i="2"/>
  <c r="I199" i="2"/>
  <c r="J199" i="2"/>
  <c r="K199" i="2"/>
  <c r="L199" i="2"/>
  <c r="N199" i="2"/>
  <c r="O199" i="2"/>
  <c r="P199" i="2"/>
  <c r="Q199" i="2"/>
  <c r="R199" i="2"/>
  <c r="S199" i="2"/>
  <c r="T199" i="2"/>
  <c r="U199" i="2"/>
  <c r="V199" i="2"/>
  <c r="W199" i="2"/>
  <c r="X199" i="2"/>
  <c r="A200" i="2"/>
  <c r="B200" i="2"/>
  <c r="C200" i="2"/>
  <c r="D200" i="2"/>
  <c r="E200" i="2"/>
  <c r="F200" i="2"/>
  <c r="G200" i="2"/>
  <c r="I200" i="2"/>
  <c r="J200" i="2"/>
  <c r="K200" i="2"/>
  <c r="L200" i="2"/>
  <c r="N200" i="2"/>
  <c r="O200" i="2"/>
  <c r="P200" i="2"/>
  <c r="Q200" i="2"/>
  <c r="R200" i="2"/>
  <c r="S200" i="2"/>
  <c r="T200" i="2"/>
  <c r="U200" i="2"/>
  <c r="V200" i="2"/>
  <c r="W200" i="2"/>
  <c r="X200" i="2"/>
  <c r="A201" i="2"/>
  <c r="B201" i="2"/>
  <c r="C201" i="2"/>
  <c r="D201" i="2"/>
  <c r="E201" i="2"/>
  <c r="F201" i="2"/>
  <c r="G201" i="2"/>
  <c r="I201" i="2"/>
  <c r="J201" i="2"/>
  <c r="K201" i="2"/>
  <c r="L201" i="2"/>
  <c r="N201" i="2"/>
  <c r="O201" i="2"/>
  <c r="P201" i="2"/>
  <c r="Q201" i="2"/>
  <c r="R201" i="2"/>
  <c r="S201" i="2"/>
  <c r="T201" i="2"/>
  <c r="U201" i="2"/>
  <c r="V201" i="2"/>
  <c r="W201" i="2"/>
  <c r="X201" i="2"/>
  <c r="A202" i="2"/>
  <c r="A214" i="2" s="1"/>
  <c r="A223" i="2" s="1"/>
  <c r="B202" i="2"/>
  <c r="C202" i="2"/>
  <c r="D202" i="2"/>
  <c r="E202" i="2"/>
  <c r="F202" i="2"/>
  <c r="G202" i="2"/>
  <c r="I202" i="2"/>
  <c r="J202" i="2"/>
  <c r="K202" i="2"/>
  <c r="L202" i="2"/>
  <c r="H250" i="2" s="1"/>
  <c r="N202" i="2"/>
  <c r="O202" i="2"/>
  <c r="P202" i="2"/>
  <c r="Q202" i="2"/>
  <c r="R202" i="2"/>
  <c r="S202" i="2"/>
  <c r="T202" i="2"/>
  <c r="U202" i="2"/>
  <c r="V202" i="2"/>
  <c r="W202" i="2"/>
  <c r="X202" i="2"/>
  <c r="A166" i="2"/>
  <c r="B166" i="2"/>
  <c r="C166" i="2"/>
  <c r="D166" i="2"/>
  <c r="E166" i="2"/>
  <c r="F166" i="2"/>
  <c r="G166" i="2"/>
  <c r="I166" i="2"/>
  <c r="J166" i="2"/>
  <c r="K166" i="2"/>
  <c r="L166" i="2"/>
  <c r="N166" i="2"/>
  <c r="O166" i="2"/>
  <c r="P166" i="2"/>
  <c r="Q166" i="2"/>
  <c r="R166" i="2"/>
  <c r="S166" i="2"/>
  <c r="T166" i="2"/>
  <c r="U166" i="2"/>
  <c r="V166" i="2"/>
  <c r="W166" i="2"/>
  <c r="X166" i="2"/>
  <c r="A167" i="2"/>
  <c r="B167" i="2"/>
  <c r="C167" i="2"/>
  <c r="D167" i="2"/>
  <c r="E167" i="2"/>
  <c r="F167" i="2"/>
  <c r="G167" i="2"/>
  <c r="I167" i="2"/>
  <c r="J167" i="2"/>
  <c r="K167" i="2"/>
  <c r="L167" i="2"/>
  <c r="N167" i="2"/>
  <c r="O167" i="2"/>
  <c r="P167" i="2"/>
  <c r="Q167" i="2"/>
  <c r="R167" i="2"/>
  <c r="S167" i="2"/>
  <c r="T167" i="2"/>
  <c r="U167" i="2"/>
  <c r="V167" i="2"/>
  <c r="W167" i="2"/>
  <c r="X167" i="2"/>
  <c r="A168" i="2"/>
  <c r="B168" i="2"/>
  <c r="C168" i="2"/>
  <c r="D168" i="2"/>
  <c r="E168" i="2"/>
  <c r="F168" i="2"/>
  <c r="G168" i="2"/>
  <c r="I168" i="2"/>
  <c r="J168" i="2"/>
  <c r="K168" i="2"/>
  <c r="L168" i="2"/>
  <c r="N168" i="2"/>
  <c r="O168" i="2"/>
  <c r="P168" i="2"/>
  <c r="Q168" i="2"/>
  <c r="R168" i="2"/>
  <c r="S168" i="2"/>
  <c r="T168" i="2"/>
  <c r="U168" i="2"/>
  <c r="V168" i="2"/>
  <c r="W168" i="2"/>
  <c r="X168" i="2"/>
  <c r="A169" i="2"/>
  <c r="B169" i="2"/>
  <c r="C169" i="2"/>
  <c r="D169" i="2"/>
  <c r="E169" i="2"/>
  <c r="F169" i="2"/>
  <c r="G169" i="2"/>
  <c r="I169" i="2"/>
  <c r="J169" i="2"/>
  <c r="K169" i="2"/>
  <c r="L169" i="2"/>
  <c r="N169" i="2"/>
  <c r="O169" i="2"/>
  <c r="P169" i="2"/>
  <c r="Q169" i="2"/>
  <c r="R169" i="2"/>
  <c r="S169" i="2"/>
  <c r="T169" i="2"/>
  <c r="U169" i="2"/>
  <c r="V169" i="2"/>
  <c r="W169" i="2"/>
  <c r="X169" i="2"/>
  <c r="A170" i="2"/>
  <c r="A206" i="2" s="1"/>
  <c r="B170" i="2"/>
  <c r="C170" i="2"/>
  <c r="D170" i="2"/>
  <c r="E170" i="2"/>
  <c r="F170" i="2"/>
  <c r="G170" i="2"/>
  <c r="I170" i="2"/>
  <c r="J170" i="2"/>
  <c r="K170" i="2"/>
  <c r="L170" i="2"/>
  <c r="N170" i="2"/>
  <c r="O170" i="2"/>
  <c r="P170" i="2"/>
  <c r="Q170" i="2"/>
  <c r="R170" i="2"/>
  <c r="S170" i="2"/>
  <c r="T170" i="2"/>
  <c r="U170" i="2"/>
  <c r="V170" i="2"/>
  <c r="W170" i="2"/>
  <c r="X170" i="2"/>
  <c r="A171" i="2"/>
  <c r="B171" i="2"/>
  <c r="C171" i="2"/>
  <c r="D171" i="2"/>
  <c r="E171" i="2"/>
  <c r="F171" i="2"/>
  <c r="G171" i="2"/>
  <c r="I171" i="2"/>
  <c r="J171" i="2"/>
  <c r="K171" i="2"/>
  <c r="L171" i="2"/>
  <c r="N171" i="2"/>
  <c r="O171" i="2"/>
  <c r="P171" i="2"/>
  <c r="Q171" i="2"/>
  <c r="R171" i="2"/>
  <c r="S171" i="2"/>
  <c r="T171" i="2"/>
  <c r="U171" i="2"/>
  <c r="V171" i="2"/>
  <c r="W171" i="2"/>
  <c r="X171" i="2"/>
  <c r="A172" i="2"/>
  <c r="B172" i="2"/>
  <c r="C172" i="2"/>
  <c r="D172" i="2"/>
  <c r="E172" i="2"/>
  <c r="F172" i="2"/>
  <c r="G172" i="2"/>
  <c r="I172" i="2"/>
  <c r="J172" i="2"/>
  <c r="K172" i="2"/>
  <c r="L172" i="2"/>
  <c r="N172" i="2"/>
  <c r="O172" i="2"/>
  <c r="P172" i="2"/>
  <c r="Q172" i="2"/>
  <c r="R172" i="2"/>
  <c r="S172" i="2"/>
  <c r="T172" i="2"/>
  <c r="U172" i="2"/>
  <c r="V172" i="2"/>
  <c r="W172" i="2"/>
  <c r="X172" i="2"/>
  <c r="A173" i="2"/>
  <c r="B173" i="2"/>
  <c r="C173" i="2"/>
  <c r="D173" i="2"/>
  <c r="E173" i="2"/>
  <c r="F173" i="2"/>
  <c r="G173" i="2"/>
  <c r="I173" i="2"/>
  <c r="J173" i="2"/>
  <c r="K173" i="2"/>
  <c r="L173" i="2"/>
  <c r="N173" i="2"/>
  <c r="O173" i="2"/>
  <c r="P173" i="2"/>
  <c r="Q173" i="2"/>
  <c r="R173" i="2"/>
  <c r="S173" i="2"/>
  <c r="T173" i="2"/>
  <c r="U173" i="2"/>
  <c r="V173" i="2"/>
  <c r="W173" i="2"/>
  <c r="X173" i="2"/>
  <c r="A174" i="2"/>
  <c r="A207" i="2" s="1"/>
  <c r="A216" i="2" s="1"/>
  <c r="B174" i="2"/>
  <c r="C174" i="2"/>
  <c r="D174" i="2"/>
  <c r="E174" i="2"/>
  <c r="F174" i="2"/>
  <c r="G174" i="2"/>
  <c r="I174" i="2"/>
  <c r="J174" i="2"/>
  <c r="K174" i="2"/>
  <c r="L174" i="2"/>
  <c r="N174" i="2"/>
  <c r="O174" i="2"/>
  <c r="P174" i="2"/>
  <c r="Q174" i="2"/>
  <c r="R174" i="2"/>
  <c r="S174" i="2"/>
  <c r="T174" i="2"/>
  <c r="U174" i="2"/>
  <c r="V174" i="2"/>
  <c r="W174" i="2"/>
  <c r="X174" i="2"/>
  <c r="A175" i="2"/>
  <c r="B175" i="2"/>
  <c r="C175" i="2"/>
  <c r="D175" i="2"/>
  <c r="E175" i="2"/>
  <c r="F175" i="2"/>
  <c r="G175" i="2"/>
  <c r="I175" i="2"/>
  <c r="J175" i="2"/>
  <c r="K175" i="2"/>
  <c r="L175" i="2"/>
  <c r="N175" i="2"/>
  <c r="O175" i="2"/>
  <c r="P175" i="2"/>
  <c r="Q175" i="2"/>
  <c r="R175" i="2"/>
  <c r="S175" i="2"/>
  <c r="T175" i="2"/>
  <c r="U175" i="2"/>
  <c r="V175" i="2"/>
  <c r="W175" i="2"/>
  <c r="X175" i="2"/>
  <c r="A176" i="2"/>
  <c r="B176" i="2"/>
  <c r="C176" i="2"/>
  <c r="D176" i="2"/>
  <c r="E176" i="2"/>
  <c r="F176" i="2"/>
  <c r="G176" i="2"/>
  <c r="I176" i="2"/>
  <c r="J176" i="2"/>
  <c r="K176" i="2"/>
  <c r="L176" i="2"/>
  <c r="N176" i="2"/>
  <c r="O176" i="2"/>
  <c r="P176" i="2"/>
  <c r="Q176" i="2"/>
  <c r="R176" i="2"/>
  <c r="S176" i="2"/>
  <c r="T176" i="2"/>
  <c r="U176" i="2"/>
  <c r="V176" i="2"/>
  <c r="W176" i="2"/>
  <c r="X176" i="2"/>
  <c r="A177" i="2"/>
  <c r="B177" i="2"/>
  <c r="C177" i="2"/>
  <c r="D177" i="2"/>
  <c r="E177" i="2"/>
  <c r="F177" i="2"/>
  <c r="G177" i="2"/>
  <c r="I177" i="2"/>
  <c r="J177" i="2"/>
  <c r="K177" i="2"/>
  <c r="L177" i="2"/>
  <c r="N177" i="2"/>
  <c r="O177" i="2"/>
  <c r="P177" i="2"/>
  <c r="Q177" i="2"/>
  <c r="R177" i="2"/>
  <c r="S177" i="2"/>
  <c r="T177" i="2"/>
  <c r="U177" i="2"/>
  <c r="V177" i="2"/>
  <c r="W177" i="2"/>
  <c r="X177" i="2"/>
  <c r="A178" i="2"/>
  <c r="A208" i="2" s="1"/>
  <c r="A217" i="2" s="1"/>
  <c r="B178" i="2"/>
  <c r="C178" i="2"/>
  <c r="D178" i="2"/>
  <c r="E178" i="2"/>
  <c r="F178" i="2"/>
  <c r="G178" i="2"/>
  <c r="I178" i="2"/>
  <c r="J178" i="2"/>
  <c r="K178" i="2"/>
  <c r="L178" i="2"/>
  <c r="N178" i="2"/>
  <c r="O178" i="2"/>
  <c r="P178" i="2"/>
  <c r="Q178" i="2"/>
  <c r="R178" i="2"/>
  <c r="S178" i="2"/>
  <c r="T178" i="2"/>
  <c r="U178" i="2"/>
  <c r="V178" i="2"/>
  <c r="W178" i="2"/>
  <c r="X178" i="2"/>
  <c r="A179" i="2"/>
  <c r="B179" i="2"/>
  <c r="C179" i="2"/>
  <c r="D179" i="2"/>
  <c r="E179" i="2"/>
  <c r="F179" i="2"/>
  <c r="G179" i="2"/>
  <c r="I179" i="2"/>
  <c r="J179" i="2"/>
  <c r="K179" i="2"/>
  <c r="L179" i="2"/>
  <c r="N179" i="2"/>
  <c r="O179" i="2"/>
  <c r="P179" i="2"/>
  <c r="Q179" i="2"/>
  <c r="R179" i="2"/>
  <c r="S179" i="2"/>
  <c r="T179" i="2"/>
  <c r="U179" i="2"/>
  <c r="V179" i="2"/>
  <c r="W179" i="2"/>
  <c r="X179" i="2"/>
  <c r="A180" i="2"/>
  <c r="B180" i="2"/>
  <c r="C180" i="2"/>
  <c r="D180" i="2"/>
  <c r="E180" i="2"/>
  <c r="F180" i="2"/>
  <c r="G180" i="2"/>
  <c r="I180" i="2"/>
  <c r="J180" i="2"/>
  <c r="K180" i="2"/>
  <c r="L180" i="2"/>
  <c r="N180" i="2"/>
  <c r="O180" i="2"/>
  <c r="P180" i="2"/>
  <c r="Q180" i="2"/>
  <c r="R180" i="2"/>
  <c r="S180" i="2"/>
  <c r="T180" i="2"/>
  <c r="U180" i="2"/>
  <c r="V180" i="2"/>
  <c r="W180" i="2"/>
  <c r="X180" i="2"/>
  <c r="A181" i="2"/>
  <c r="B181" i="2"/>
  <c r="C181" i="2"/>
  <c r="D181" i="2"/>
  <c r="E181" i="2"/>
  <c r="F181" i="2"/>
  <c r="G181" i="2"/>
  <c r="I181" i="2"/>
  <c r="J181" i="2"/>
  <c r="K181" i="2"/>
  <c r="L181" i="2"/>
  <c r="N181" i="2"/>
  <c r="O181" i="2"/>
  <c r="P181" i="2"/>
  <c r="Q181" i="2"/>
  <c r="R181" i="2"/>
  <c r="S181" i="2"/>
  <c r="T181" i="2"/>
  <c r="U181" i="2"/>
  <c r="V181" i="2"/>
  <c r="W181" i="2"/>
  <c r="X181" i="2"/>
  <c r="A182" i="2"/>
  <c r="A209" i="2" s="1"/>
  <c r="A218" i="2" s="1"/>
  <c r="B182" i="2"/>
  <c r="C182" i="2"/>
  <c r="D182" i="2"/>
  <c r="E182" i="2"/>
  <c r="F182" i="2"/>
  <c r="G182" i="2"/>
  <c r="I182" i="2"/>
  <c r="J182" i="2"/>
  <c r="K182" i="2"/>
  <c r="L182" i="2"/>
  <c r="N182" i="2"/>
  <c r="O182" i="2"/>
  <c r="P182" i="2"/>
  <c r="Q182" i="2"/>
  <c r="R182" i="2"/>
  <c r="S182" i="2"/>
  <c r="T182" i="2"/>
  <c r="U182" i="2"/>
  <c r="V182" i="2"/>
  <c r="W182" i="2"/>
  <c r="X182" i="2"/>
  <c r="A183" i="2"/>
  <c r="B183" i="2"/>
  <c r="C183" i="2"/>
  <c r="D183" i="2"/>
  <c r="E183" i="2"/>
  <c r="F183" i="2"/>
  <c r="G183" i="2"/>
  <c r="I183" i="2"/>
  <c r="J183" i="2"/>
  <c r="K183" i="2"/>
  <c r="L183" i="2"/>
  <c r="N183" i="2"/>
  <c r="O183" i="2"/>
  <c r="P183" i="2"/>
  <c r="Q183" i="2"/>
  <c r="R183" i="2"/>
  <c r="S183" i="2"/>
  <c r="T183" i="2"/>
  <c r="U183" i="2"/>
  <c r="V183" i="2"/>
  <c r="W183" i="2"/>
  <c r="X183" i="2"/>
  <c r="A184" i="2"/>
  <c r="B184" i="2"/>
  <c r="C184" i="2"/>
  <c r="D184" i="2"/>
  <c r="E184" i="2"/>
  <c r="F184" i="2"/>
  <c r="G184" i="2"/>
  <c r="I184" i="2"/>
  <c r="J184" i="2"/>
  <c r="K184" i="2"/>
  <c r="L184" i="2"/>
  <c r="N184" i="2"/>
  <c r="O184" i="2"/>
  <c r="P184" i="2"/>
  <c r="Q184" i="2"/>
  <c r="R184" i="2"/>
  <c r="S184" i="2"/>
  <c r="T184" i="2"/>
  <c r="U184" i="2"/>
  <c r="V184" i="2"/>
  <c r="W184" i="2"/>
  <c r="X184" i="2"/>
  <c r="A185" i="2"/>
  <c r="B185" i="2"/>
  <c r="C185" i="2"/>
  <c r="D185" i="2"/>
  <c r="E185" i="2"/>
  <c r="F185" i="2"/>
  <c r="G185" i="2"/>
  <c r="I185" i="2"/>
  <c r="J185" i="2"/>
  <c r="K185" i="2"/>
  <c r="L185" i="2"/>
  <c r="N185" i="2"/>
  <c r="O185" i="2"/>
  <c r="P185" i="2"/>
  <c r="Q185" i="2"/>
  <c r="R185" i="2"/>
  <c r="S185" i="2"/>
  <c r="T185" i="2"/>
  <c r="U185" i="2"/>
  <c r="V185" i="2"/>
  <c r="W185" i="2"/>
  <c r="X185" i="2"/>
  <c r="A186" i="2"/>
  <c r="A210" i="2" s="1"/>
  <c r="A219" i="2" s="1"/>
  <c r="B186" i="2"/>
  <c r="C186" i="2"/>
  <c r="D186" i="2"/>
  <c r="E186" i="2"/>
  <c r="F186" i="2"/>
  <c r="G186" i="2"/>
  <c r="I186" i="2"/>
  <c r="J186" i="2"/>
  <c r="K186" i="2"/>
  <c r="L186" i="2"/>
  <c r="N186" i="2"/>
  <c r="O186" i="2"/>
  <c r="P186" i="2"/>
  <c r="Q186" i="2"/>
  <c r="R186" i="2"/>
  <c r="S186" i="2"/>
  <c r="T186" i="2"/>
  <c r="U186" i="2"/>
  <c r="V186" i="2"/>
  <c r="W186" i="2"/>
  <c r="X186" i="2"/>
  <c r="A187" i="2"/>
  <c r="B187" i="2"/>
  <c r="C187" i="2"/>
  <c r="D187" i="2"/>
  <c r="E187" i="2"/>
  <c r="F187" i="2"/>
  <c r="G187" i="2"/>
  <c r="I187" i="2"/>
  <c r="J187" i="2"/>
  <c r="K187" i="2"/>
  <c r="L187" i="2"/>
  <c r="N187" i="2"/>
  <c r="O187" i="2"/>
  <c r="P187" i="2"/>
  <c r="Q187" i="2"/>
  <c r="R187" i="2"/>
  <c r="S187" i="2"/>
  <c r="T187" i="2"/>
  <c r="U187" i="2"/>
  <c r="V187" i="2"/>
  <c r="W187" i="2"/>
  <c r="X187" i="2"/>
  <c r="A188" i="2"/>
  <c r="B188" i="2"/>
  <c r="C188" i="2"/>
  <c r="D188" i="2"/>
  <c r="E188" i="2"/>
  <c r="F188" i="2"/>
  <c r="G188" i="2"/>
  <c r="I188" i="2"/>
  <c r="J188" i="2"/>
  <c r="K188" i="2"/>
  <c r="L188" i="2"/>
  <c r="N188" i="2"/>
  <c r="O188" i="2"/>
  <c r="P188" i="2"/>
  <c r="Q188" i="2"/>
  <c r="R188" i="2"/>
  <c r="S188" i="2"/>
  <c r="T188" i="2"/>
  <c r="U188" i="2"/>
  <c r="V188" i="2"/>
  <c r="W188" i="2"/>
  <c r="X188" i="2"/>
  <c r="A189" i="2"/>
  <c r="B189" i="2"/>
  <c r="C189" i="2"/>
  <c r="D189" i="2"/>
  <c r="E189" i="2"/>
  <c r="F189" i="2"/>
  <c r="G189" i="2"/>
  <c r="I189" i="2"/>
  <c r="J189" i="2"/>
  <c r="K189" i="2"/>
  <c r="L189" i="2"/>
  <c r="N189" i="2"/>
  <c r="O189" i="2"/>
  <c r="P189" i="2"/>
  <c r="Q189" i="2"/>
  <c r="R189" i="2"/>
  <c r="S189" i="2"/>
  <c r="T189" i="2"/>
  <c r="U189" i="2"/>
  <c r="V189" i="2"/>
  <c r="W189" i="2"/>
  <c r="X189" i="2"/>
  <c r="A190" i="2"/>
  <c r="A211" i="2" s="1"/>
  <c r="A220" i="2" s="1"/>
  <c r="B190" i="2"/>
  <c r="C190" i="2"/>
  <c r="D190" i="2"/>
  <c r="E190" i="2"/>
  <c r="F190" i="2"/>
  <c r="G190" i="2"/>
  <c r="I190" i="2"/>
  <c r="J190" i="2"/>
  <c r="K190" i="2"/>
  <c r="L190" i="2"/>
  <c r="N190" i="2"/>
  <c r="O190" i="2"/>
  <c r="P190" i="2"/>
  <c r="Q190" i="2"/>
  <c r="R190" i="2"/>
  <c r="S190" i="2"/>
  <c r="T190" i="2"/>
  <c r="U190" i="2"/>
  <c r="V190" i="2"/>
  <c r="W190" i="2"/>
  <c r="X190" i="2"/>
  <c r="A191" i="2"/>
  <c r="B191" i="2"/>
  <c r="C191" i="2"/>
  <c r="D191" i="2"/>
  <c r="E191" i="2"/>
  <c r="F191" i="2"/>
  <c r="G191" i="2"/>
  <c r="I191" i="2"/>
  <c r="J191" i="2"/>
  <c r="K191" i="2"/>
  <c r="L191" i="2"/>
  <c r="N191" i="2"/>
  <c r="O191" i="2"/>
  <c r="P191" i="2"/>
  <c r="Q191" i="2"/>
  <c r="R191" i="2"/>
  <c r="S191" i="2"/>
  <c r="T191" i="2"/>
  <c r="U191" i="2"/>
  <c r="V191" i="2"/>
  <c r="W191" i="2"/>
  <c r="X191" i="2"/>
  <c r="A192" i="2"/>
  <c r="B192" i="2"/>
  <c r="C192" i="2"/>
  <c r="D192" i="2"/>
  <c r="E192" i="2"/>
  <c r="F192" i="2"/>
  <c r="G192" i="2"/>
  <c r="I192" i="2"/>
  <c r="J192" i="2"/>
  <c r="K192" i="2"/>
  <c r="L192" i="2"/>
  <c r="N192" i="2"/>
  <c r="O192" i="2"/>
  <c r="P192" i="2"/>
  <c r="Q192" i="2"/>
  <c r="R192" i="2"/>
  <c r="S192" i="2"/>
  <c r="T192" i="2"/>
  <c r="U192" i="2"/>
  <c r="V192" i="2"/>
  <c r="W192" i="2"/>
  <c r="X192" i="2"/>
  <c r="A193" i="2"/>
  <c r="B193" i="2"/>
  <c r="C193" i="2"/>
  <c r="D193" i="2"/>
  <c r="E193" i="2"/>
  <c r="F193" i="2"/>
  <c r="G193" i="2"/>
  <c r="I193" i="2"/>
  <c r="J193" i="2"/>
  <c r="K193" i="2"/>
  <c r="L193" i="2"/>
  <c r="N193" i="2"/>
  <c r="O193" i="2"/>
  <c r="P193" i="2"/>
  <c r="Q193" i="2"/>
  <c r="R193" i="2"/>
  <c r="S193" i="2"/>
  <c r="T193" i="2"/>
  <c r="U193" i="2"/>
  <c r="V193" i="2"/>
  <c r="W193" i="2"/>
  <c r="X193" i="2"/>
  <c r="A194" i="2"/>
  <c r="A212" i="2" s="1"/>
  <c r="A221" i="2" s="1"/>
  <c r="B194" i="2"/>
  <c r="C194" i="2"/>
  <c r="D194" i="2"/>
  <c r="E194" i="2"/>
  <c r="F194" i="2"/>
  <c r="G194" i="2"/>
  <c r="I194" i="2"/>
  <c r="J194" i="2"/>
  <c r="K194" i="2"/>
  <c r="L194" i="2"/>
  <c r="N194" i="2"/>
  <c r="O194" i="2"/>
  <c r="P194" i="2"/>
  <c r="Q194" i="2"/>
  <c r="R194" i="2"/>
  <c r="S194" i="2"/>
  <c r="T194" i="2"/>
  <c r="U194" i="2"/>
  <c r="V194" i="2"/>
  <c r="W194" i="2"/>
  <c r="X194" i="2"/>
  <c r="A195" i="2"/>
  <c r="B195" i="2"/>
  <c r="C195" i="2"/>
  <c r="D195" i="2"/>
  <c r="E195" i="2"/>
  <c r="F195" i="2"/>
  <c r="G195" i="2"/>
  <c r="I195" i="2"/>
  <c r="J195" i="2"/>
  <c r="K195" i="2"/>
  <c r="L195" i="2"/>
  <c r="N195" i="2"/>
  <c r="O195" i="2"/>
  <c r="P195" i="2"/>
  <c r="Q195" i="2"/>
  <c r="R195" i="2"/>
  <c r="S195" i="2"/>
  <c r="T195" i="2"/>
  <c r="U195" i="2"/>
  <c r="V195" i="2"/>
  <c r="W195" i="2"/>
  <c r="X195" i="2"/>
  <c r="A196" i="2"/>
  <c r="B196" i="2"/>
  <c r="C196" i="2"/>
  <c r="D196" i="2"/>
  <c r="E196" i="2"/>
  <c r="F196" i="2"/>
  <c r="G196" i="2"/>
  <c r="I196" i="2"/>
  <c r="J196" i="2"/>
  <c r="K196" i="2"/>
  <c r="L196" i="2"/>
  <c r="N196" i="2"/>
  <c r="O196" i="2"/>
  <c r="P196" i="2"/>
  <c r="Q196" i="2"/>
  <c r="R196" i="2"/>
  <c r="S196" i="2"/>
  <c r="T196" i="2"/>
  <c r="U196" i="2"/>
  <c r="V196" i="2"/>
  <c r="W196" i="2"/>
  <c r="X196" i="2"/>
  <c r="A197" i="2"/>
  <c r="B197" i="2"/>
  <c r="C197" i="2"/>
  <c r="D197" i="2"/>
  <c r="E197" i="2"/>
  <c r="F197" i="2"/>
  <c r="G197" i="2"/>
  <c r="I197" i="2"/>
  <c r="J197" i="2"/>
  <c r="K197" i="2"/>
  <c r="L197" i="2"/>
  <c r="N197" i="2"/>
  <c r="O197" i="2"/>
  <c r="P197" i="2"/>
  <c r="Q197" i="2"/>
  <c r="R197" i="2"/>
  <c r="S197" i="2"/>
  <c r="T197" i="2"/>
  <c r="U197" i="2"/>
  <c r="V197" i="2"/>
  <c r="W197" i="2"/>
  <c r="X197" i="2"/>
  <c r="C165" i="2"/>
  <c r="D165" i="2"/>
  <c r="E165" i="2"/>
  <c r="F165" i="2"/>
  <c r="G165" i="2"/>
  <c r="I165" i="2"/>
  <c r="J165" i="2"/>
  <c r="K165" i="2"/>
  <c r="L165" i="2"/>
  <c r="N165" i="2"/>
  <c r="AC165" i="2" s="1"/>
  <c r="O165" i="2"/>
  <c r="AD165" i="2" s="1"/>
  <c r="P165" i="2"/>
  <c r="AE165" i="2" s="1"/>
  <c r="Q165" i="2"/>
  <c r="AF165" i="2" s="1"/>
  <c r="R165" i="2"/>
  <c r="AG165" i="2" s="1"/>
  <c r="S165" i="2"/>
  <c r="T165" i="2"/>
  <c r="U165" i="2"/>
  <c r="V165" i="2"/>
  <c r="W165" i="2"/>
  <c r="X165" i="2"/>
  <c r="B165" i="2"/>
  <c r="I243" i="2" l="1"/>
  <c r="H238" i="2"/>
  <c r="H248" i="2" s="1"/>
  <c r="B211" i="2"/>
  <c r="N212" i="2"/>
  <c r="H247" i="2"/>
  <c r="H175" i="2"/>
  <c r="M175" i="2" s="1"/>
  <c r="T209" i="2"/>
  <c r="B207" i="2"/>
  <c r="B217" i="2" s="1"/>
  <c r="Y183" i="2"/>
  <c r="Z183" i="2" s="1"/>
  <c r="H246" i="2"/>
  <c r="S213" i="2"/>
  <c r="H186" i="2"/>
  <c r="M186" i="2" s="1"/>
  <c r="D210" i="2"/>
  <c r="D219" i="2" s="1"/>
  <c r="D206" i="2"/>
  <c r="T214" i="2"/>
  <c r="E213" i="2"/>
  <c r="E222" i="2" s="1"/>
  <c r="E209" i="2"/>
  <c r="D213" i="2"/>
  <c r="D209" i="2"/>
  <c r="W209" i="2"/>
  <c r="V209" i="2"/>
  <c r="B208" i="2"/>
  <c r="B209" i="2"/>
  <c r="X213" i="2"/>
  <c r="P212" i="2"/>
  <c r="X209" i="2"/>
  <c r="H178" i="2"/>
  <c r="M178" i="2" s="1"/>
  <c r="O212" i="2"/>
  <c r="C210" i="2"/>
  <c r="U208" i="2"/>
  <c r="J207" i="2"/>
  <c r="C206" i="2"/>
  <c r="S214" i="2"/>
  <c r="T212" i="2"/>
  <c r="R214" i="2"/>
  <c r="G211" i="2"/>
  <c r="U211" i="2"/>
  <c r="J212" i="2"/>
  <c r="J208" i="2"/>
  <c r="G214" i="2"/>
  <c r="V212" i="2"/>
  <c r="U212" i="2"/>
  <c r="L211" i="2"/>
  <c r="L207" i="2"/>
  <c r="R212" i="2"/>
  <c r="I211" i="2"/>
  <c r="K211" i="2"/>
  <c r="R208" i="2"/>
  <c r="T208" i="2"/>
  <c r="I207" i="2"/>
  <c r="K207" i="2"/>
  <c r="Q212" i="2"/>
  <c r="J211" i="2"/>
  <c r="U213" i="2"/>
  <c r="W212" i="2"/>
  <c r="O211" i="2"/>
  <c r="Q210" i="2"/>
  <c r="U209" i="2"/>
  <c r="W208" i="2"/>
  <c r="O207" i="2"/>
  <c r="Q206" i="2"/>
  <c r="T213" i="2"/>
  <c r="L206" i="2"/>
  <c r="C214" i="2"/>
  <c r="V213" i="2"/>
  <c r="T211" i="2"/>
  <c r="K210" i="2"/>
  <c r="H179" i="2"/>
  <c r="M179" i="2" s="1"/>
  <c r="K206" i="2"/>
  <c r="H200" i="2"/>
  <c r="M200" i="2" s="1"/>
  <c r="S211" i="2"/>
  <c r="S207" i="2"/>
  <c r="Y193" i="2"/>
  <c r="Z193" i="2" s="1"/>
  <c r="H192" i="2"/>
  <c r="M192" i="2" s="1"/>
  <c r="Y177" i="2"/>
  <c r="Z177" i="2" s="1"/>
  <c r="H176" i="2"/>
  <c r="M176" i="2" s="1"/>
  <c r="Y171" i="2"/>
  <c r="Z171" i="2" s="1"/>
  <c r="X214" i="2"/>
  <c r="Y190" i="2"/>
  <c r="Z190" i="2" s="1"/>
  <c r="W214" i="2"/>
  <c r="H189" i="2"/>
  <c r="M189" i="2" s="1"/>
  <c r="Y174" i="2"/>
  <c r="Z174" i="2" s="1"/>
  <c r="H173" i="2"/>
  <c r="M173" i="2" s="1"/>
  <c r="V214" i="2"/>
  <c r="G213" i="2"/>
  <c r="E210" i="2"/>
  <c r="G209" i="2"/>
  <c r="E206" i="2"/>
  <c r="U214" i="2"/>
  <c r="B218" i="2"/>
  <c r="H182" i="2"/>
  <c r="M182" i="2" s="1"/>
  <c r="Y196" i="2"/>
  <c r="Z196" i="2" s="1"/>
  <c r="H195" i="2"/>
  <c r="M195" i="2" s="1"/>
  <c r="AA195" i="2" s="1"/>
  <c r="Y187" i="2"/>
  <c r="Z187" i="2" s="1"/>
  <c r="H170" i="2"/>
  <c r="M170" i="2" s="1"/>
  <c r="Y189" i="2"/>
  <c r="Z189" i="2" s="1"/>
  <c r="Y198" i="2"/>
  <c r="Z198" i="2" s="1"/>
  <c r="Y180" i="2"/>
  <c r="Z180" i="2" s="1"/>
  <c r="T207" i="2"/>
  <c r="Y201" i="2"/>
  <c r="Z201" i="2" s="1"/>
  <c r="W213" i="2"/>
  <c r="Y188" i="2"/>
  <c r="Z188" i="2" s="1"/>
  <c r="H177" i="2"/>
  <c r="M177" i="2" s="1"/>
  <c r="Q208" i="2"/>
  <c r="G207" i="2"/>
  <c r="U207" i="2"/>
  <c r="F211" i="2"/>
  <c r="F207" i="2"/>
  <c r="B214" i="2"/>
  <c r="C212" i="2"/>
  <c r="E211" i="2"/>
  <c r="J210" i="2"/>
  <c r="C208" i="2"/>
  <c r="E207" i="2"/>
  <c r="J206" i="2"/>
  <c r="O214" i="2"/>
  <c r="K213" i="2"/>
  <c r="D211" i="2"/>
  <c r="R211" i="2"/>
  <c r="I210" i="2"/>
  <c r="K209" i="2"/>
  <c r="P208" i="2"/>
  <c r="D207" i="2"/>
  <c r="R207" i="2"/>
  <c r="I206" i="2"/>
  <c r="J213" i="2"/>
  <c r="L212" i="2"/>
  <c r="C211" i="2"/>
  <c r="Q211" i="2"/>
  <c r="S210" i="2"/>
  <c r="G210" i="2"/>
  <c r="Y182" i="2"/>
  <c r="Z182" i="2" s="1"/>
  <c r="J209" i="2"/>
  <c r="L208" i="2"/>
  <c r="O208" i="2"/>
  <c r="C207" i="2"/>
  <c r="Q207" i="2"/>
  <c r="S206" i="2"/>
  <c r="G206" i="2"/>
  <c r="J214" i="2"/>
  <c r="L214" i="2"/>
  <c r="I213" i="2"/>
  <c r="K212" i="2"/>
  <c r="X212" i="2"/>
  <c r="P211" i="2"/>
  <c r="R210" i="2"/>
  <c r="F210" i="2"/>
  <c r="I209" i="2"/>
  <c r="K208" i="2"/>
  <c r="X208" i="2"/>
  <c r="N208" i="2"/>
  <c r="P207" i="2"/>
  <c r="H171" i="2"/>
  <c r="M171" i="2" s="1"/>
  <c r="R206" i="2"/>
  <c r="F206" i="2"/>
  <c r="I214" i="2"/>
  <c r="K214" i="2"/>
  <c r="H172" i="2"/>
  <c r="M172" i="2" s="1"/>
  <c r="S209" i="2"/>
  <c r="R213" i="2"/>
  <c r="I212" i="2"/>
  <c r="X211" i="2"/>
  <c r="Y186" i="2"/>
  <c r="H185" i="2"/>
  <c r="M185" i="2" s="1"/>
  <c r="P210" i="2"/>
  <c r="R209" i="2"/>
  <c r="F209" i="2"/>
  <c r="X207" i="2"/>
  <c r="Y170" i="2"/>
  <c r="Z170" i="2" s="1"/>
  <c r="H169" i="2"/>
  <c r="M169" i="2" s="1"/>
  <c r="Y167" i="2"/>
  <c r="Z167" i="2" s="1"/>
  <c r="Z206" i="2" s="1"/>
  <c r="H166" i="2"/>
  <c r="M166" i="2" s="1"/>
  <c r="F214" i="2"/>
  <c r="I208" i="2"/>
  <c r="N211" i="2"/>
  <c r="H187" i="2"/>
  <c r="H184" i="2"/>
  <c r="M184" i="2" s="1"/>
  <c r="V208" i="2"/>
  <c r="N207" i="2"/>
  <c r="Y166" i="2"/>
  <c r="Z166" i="2" s="1"/>
  <c r="H168" i="2"/>
  <c r="M168" i="2" s="1"/>
  <c r="AA168" i="2" s="1"/>
  <c r="H181" i="2"/>
  <c r="M181" i="2" s="1"/>
  <c r="Y169" i="2"/>
  <c r="Z169" i="2" s="1"/>
  <c r="H197" i="2"/>
  <c r="M197" i="2" s="1"/>
  <c r="AA197" i="2" s="1"/>
  <c r="Y195" i="2"/>
  <c r="Z195" i="2" s="1"/>
  <c r="H194" i="2"/>
  <c r="M194" i="2" s="1"/>
  <c r="D212" i="2"/>
  <c r="H188" i="2"/>
  <c r="M188" i="2" s="1"/>
  <c r="V210" i="2"/>
  <c r="N209" i="2"/>
  <c r="D208" i="2"/>
  <c r="Y173" i="2"/>
  <c r="Z173" i="2" s="1"/>
  <c r="V206" i="2"/>
  <c r="Y200" i="2"/>
  <c r="Z200" i="2" s="1"/>
  <c r="H199" i="2"/>
  <c r="M199" i="2" s="1"/>
  <c r="AA199" i="2" s="1"/>
  <c r="L213" i="2"/>
  <c r="U210" i="2"/>
  <c r="L209" i="2"/>
  <c r="L218" i="2" s="1"/>
  <c r="U206" i="2"/>
  <c r="Y192" i="2"/>
  <c r="Z192" i="2" s="1"/>
  <c r="H191" i="2"/>
  <c r="M191" i="2" s="1"/>
  <c r="AA191" i="2" s="1"/>
  <c r="T210" i="2"/>
  <c r="Y176" i="2"/>
  <c r="Z176" i="2" s="1"/>
  <c r="T206" i="2"/>
  <c r="Y184" i="2"/>
  <c r="Z184" i="2" s="1"/>
  <c r="H183" i="2"/>
  <c r="B210" i="2"/>
  <c r="Y168" i="2"/>
  <c r="Z168" i="2" s="1"/>
  <c r="B206" i="2"/>
  <c r="H167" i="2"/>
  <c r="S212" i="2"/>
  <c r="Y185" i="2"/>
  <c r="Z185" i="2" s="1"/>
  <c r="S208" i="2"/>
  <c r="Q214" i="2"/>
  <c r="Y197" i="2"/>
  <c r="Z197" i="2" s="1"/>
  <c r="H196" i="2"/>
  <c r="M196" i="2" s="1"/>
  <c r="Y181" i="2"/>
  <c r="Z181" i="2" s="1"/>
  <c r="H180" i="2"/>
  <c r="M180" i="2" s="1"/>
  <c r="Y202" i="2"/>
  <c r="P214" i="2"/>
  <c r="Y194" i="2"/>
  <c r="Z194" i="2" s="1"/>
  <c r="H193" i="2"/>
  <c r="M193" i="2" s="1"/>
  <c r="Y178" i="2"/>
  <c r="Z178" i="2" s="1"/>
  <c r="Y199" i="2"/>
  <c r="Z199" i="2" s="1"/>
  <c r="H198" i="2"/>
  <c r="M198" i="2" s="1"/>
  <c r="Y191" i="2"/>
  <c r="Z191" i="2" s="1"/>
  <c r="H190" i="2"/>
  <c r="M190" i="2" s="1"/>
  <c r="Y175" i="2"/>
  <c r="Z175" i="2" s="1"/>
  <c r="C213" i="2"/>
  <c r="E212" i="2"/>
  <c r="W210" i="2"/>
  <c r="L210" i="2"/>
  <c r="O209" i="2"/>
  <c r="C209" i="2"/>
  <c r="E208" i="2"/>
  <c r="W206" i="2"/>
  <c r="Q213" i="2"/>
  <c r="G212" i="2"/>
  <c r="W207" i="2"/>
  <c r="F212" i="2"/>
  <c r="V211" i="2"/>
  <c r="X210" i="2"/>
  <c r="N210" i="2"/>
  <c r="P209" i="2"/>
  <c r="V207" i="2"/>
  <c r="N206" i="2"/>
  <c r="F213" i="2"/>
  <c r="F222" i="2" s="1"/>
  <c r="W211" i="2"/>
  <c r="O210" i="2"/>
  <c r="Q209" i="2"/>
  <c r="G208" i="2"/>
  <c r="O206" i="2"/>
  <c r="E214" i="2"/>
  <c r="P213" i="2"/>
  <c r="F208" i="2"/>
  <c r="X206" i="2"/>
  <c r="D214" i="2"/>
  <c r="B213" i="2"/>
  <c r="H202" i="2"/>
  <c r="H201" i="2"/>
  <c r="M201" i="2" s="1"/>
  <c r="AA201" i="2" s="1"/>
  <c r="Y179" i="2"/>
  <c r="Z179" i="2" s="1"/>
  <c r="O213" i="2"/>
  <c r="N213" i="2"/>
  <c r="H174" i="2"/>
  <c r="M174" i="2" s="1"/>
  <c r="Y172" i="2"/>
  <c r="Z172" i="2" s="1"/>
  <c r="B212" i="2"/>
  <c r="B221" i="2" s="1"/>
  <c r="P206" i="2"/>
  <c r="N214" i="2"/>
  <c r="N223" i="2" l="1"/>
  <c r="Q222" i="2"/>
  <c r="V219" i="2"/>
  <c r="AE214" i="2"/>
  <c r="P217" i="2"/>
  <c r="AD212" i="2"/>
  <c r="AD210" i="2"/>
  <c r="AM209" i="2"/>
  <c r="W217" i="2"/>
  <c r="AL208" i="2"/>
  <c r="AL211" i="2"/>
  <c r="AE207" i="2"/>
  <c r="AJ214" i="2"/>
  <c r="AJ209" i="2"/>
  <c r="AF214" i="2"/>
  <c r="K222" i="2"/>
  <c r="AL212" i="2"/>
  <c r="AD214" i="2"/>
  <c r="AH212" i="2"/>
  <c r="AK214" i="2"/>
  <c r="V218" i="2"/>
  <c r="AK208" i="2"/>
  <c r="AG210" i="2"/>
  <c r="AF212" i="2"/>
  <c r="AL209" i="2"/>
  <c r="AK211" i="2"/>
  <c r="AE211" i="2"/>
  <c r="AM212" i="2"/>
  <c r="N222" i="2"/>
  <c r="AC213" i="2"/>
  <c r="X218" i="2"/>
  <c r="AG214" i="2"/>
  <c r="C220" i="2"/>
  <c r="X222" i="2"/>
  <c r="AI212" i="2"/>
  <c r="T218" i="2"/>
  <c r="AM214" i="2"/>
  <c r="T223" i="2"/>
  <c r="AI214" i="2"/>
  <c r="AI206" i="2"/>
  <c r="AG212" i="2"/>
  <c r="T219" i="2"/>
  <c r="AI210" i="2"/>
  <c r="AH206" i="2"/>
  <c r="AD209" i="2"/>
  <c r="AH213" i="2"/>
  <c r="AM207" i="2"/>
  <c r="AF208" i="2"/>
  <c r="AA177" i="2"/>
  <c r="AK212" i="2"/>
  <c r="Z209" i="2"/>
  <c r="AH211" i="2"/>
  <c r="AJ211" i="2"/>
  <c r="AC212" i="2"/>
  <c r="S218" i="2"/>
  <c r="AH214" i="2"/>
  <c r="Z207" i="2"/>
  <c r="Z216" i="2" s="1"/>
  <c r="Z218" i="2"/>
  <c r="AA175" i="2"/>
  <c r="AA193" i="2"/>
  <c r="AA212" i="2" s="1"/>
  <c r="L221" i="2"/>
  <c r="E223" i="2"/>
  <c r="AA172" i="2"/>
  <c r="AA188" i="2"/>
  <c r="AA170" i="2"/>
  <c r="D222" i="2"/>
  <c r="Z211" i="2"/>
  <c r="S223" i="2"/>
  <c r="AA180" i="2"/>
  <c r="D216" i="2"/>
  <c r="Z213" i="2"/>
  <c r="AA196" i="2"/>
  <c r="AA171" i="2"/>
  <c r="AA182" i="2"/>
  <c r="D220" i="2"/>
  <c r="B216" i="2"/>
  <c r="E219" i="2"/>
  <c r="F221" i="2"/>
  <c r="U222" i="2"/>
  <c r="N221" i="2"/>
  <c r="K221" i="2"/>
  <c r="AA173" i="2"/>
  <c r="Q221" i="2"/>
  <c r="Z208" i="2"/>
  <c r="Z212" i="2"/>
  <c r="R222" i="2"/>
  <c r="AA179" i="2"/>
  <c r="D264" i="2"/>
  <c r="E264" i="2" s="1"/>
  <c r="J255" i="2" s="1"/>
  <c r="Z202" i="2"/>
  <c r="Z214" i="2" s="1"/>
  <c r="Z223" i="2" s="1"/>
  <c r="AA181" i="2"/>
  <c r="U218" i="2"/>
  <c r="AA184" i="2"/>
  <c r="W216" i="2"/>
  <c r="B219" i="2"/>
  <c r="H211" i="2"/>
  <c r="G221" i="2"/>
  <c r="V223" i="2"/>
  <c r="J222" i="2"/>
  <c r="X219" i="2"/>
  <c r="O221" i="2"/>
  <c r="AA174" i="2"/>
  <c r="I216" i="2"/>
  <c r="O222" i="2"/>
  <c r="AA169" i="2"/>
  <c r="X223" i="2"/>
  <c r="W219" i="2"/>
  <c r="AA176" i="2"/>
  <c r="C223" i="2"/>
  <c r="AA192" i="2"/>
  <c r="AA190" i="2"/>
  <c r="AA185" i="2"/>
  <c r="W222" i="2"/>
  <c r="Y210" i="2"/>
  <c r="AL210" i="2" s="1"/>
  <c r="Z186" i="2"/>
  <c r="AA186" i="2" s="1"/>
  <c r="G220" i="2"/>
  <c r="V222" i="2"/>
  <c r="AA194" i="2"/>
  <c r="AA166" i="2"/>
  <c r="Q216" i="2"/>
  <c r="C216" i="2"/>
  <c r="L216" i="2"/>
  <c r="D223" i="2"/>
  <c r="AA198" i="2"/>
  <c r="X220" i="2"/>
  <c r="S219" i="2"/>
  <c r="G223" i="2"/>
  <c r="AA178" i="2"/>
  <c r="K216" i="2"/>
  <c r="AA189" i="2"/>
  <c r="M202" i="2"/>
  <c r="I238" i="2"/>
  <c r="H249" i="2" s="1"/>
  <c r="H251" i="2" s="1"/>
  <c r="P222" i="2"/>
  <c r="AA200" i="2"/>
  <c r="J217" i="2"/>
  <c r="I221" i="2"/>
  <c r="G217" i="2"/>
  <c r="T221" i="2"/>
  <c r="J220" i="2"/>
  <c r="T216" i="2"/>
  <c r="O216" i="2"/>
  <c r="Q218" i="2"/>
  <c r="P223" i="2"/>
  <c r="O219" i="2"/>
  <c r="I223" i="2"/>
  <c r="R217" i="2"/>
  <c r="K220" i="2"/>
  <c r="T220" i="2"/>
  <c r="K217" i="2"/>
  <c r="I218" i="2"/>
  <c r="J216" i="2"/>
  <c r="R223" i="2"/>
  <c r="K218" i="2"/>
  <c r="W218" i="2"/>
  <c r="Y206" i="2"/>
  <c r="AF206" i="2" s="1"/>
  <c r="I219" i="2"/>
  <c r="N217" i="2"/>
  <c r="R220" i="2"/>
  <c r="C222" i="2"/>
  <c r="J221" i="2"/>
  <c r="I217" i="2"/>
  <c r="U223" i="2"/>
  <c r="U221" i="2"/>
  <c r="E221" i="2"/>
  <c r="H208" i="2"/>
  <c r="G222" i="2"/>
  <c r="X216" i="2"/>
  <c r="M187" i="2"/>
  <c r="O217" i="2"/>
  <c r="R218" i="2"/>
  <c r="T222" i="2"/>
  <c r="Q220" i="2"/>
  <c r="M212" i="2"/>
  <c r="G216" i="2"/>
  <c r="F217" i="2"/>
  <c r="F218" i="2"/>
  <c r="U219" i="2"/>
  <c r="L217" i="2"/>
  <c r="Y208" i="2"/>
  <c r="AJ208" i="2" s="1"/>
  <c r="L222" i="2"/>
  <c r="P219" i="2"/>
  <c r="J218" i="2"/>
  <c r="Y211" i="2"/>
  <c r="G218" i="2"/>
  <c r="Q217" i="2"/>
  <c r="W220" i="2"/>
  <c r="W221" i="2"/>
  <c r="Q219" i="2"/>
  <c r="Y213" i="2"/>
  <c r="P216" i="2"/>
  <c r="S216" i="2"/>
  <c r="Q223" i="2"/>
  <c r="S220" i="2"/>
  <c r="S217" i="2"/>
  <c r="X217" i="2"/>
  <c r="E217" i="2"/>
  <c r="E218" i="2"/>
  <c r="S221" i="2"/>
  <c r="O223" i="2"/>
  <c r="C218" i="2"/>
  <c r="C219" i="2"/>
  <c r="N216" i="2"/>
  <c r="F219" i="2"/>
  <c r="M208" i="2"/>
  <c r="O218" i="2"/>
  <c r="V217" i="2"/>
  <c r="R219" i="2"/>
  <c r="E216" i="2"/>
  <c r="K219" i="2"/>
  <c r="L219" i="2"/>
  <c r="L220" i="2"/>
  <c r="P220" i="2"/>
  <c r="C217" i="2"/>
  <c r="U220" i="2"/>
  <c r="B222" i="2"/>
  <c r="X221" i="2"/>
  <c r="J219" i="2"/>
  <c r="P221" i="2"/>
  <c r="N220" i="2"/>
  <c r="E220" i="2"/>
  <c r="B220" i="2"/>
  <c r="I222" i="2"/>
  <c r="C221" i="2"/>
  <c r="O220" i="2"/>
  <c r="H212" i="2"/>
  <c r="H221" i="2" s="1"/>
  <c r="F223" i="2"/>
  <c r="L223" i="2"/>
  <c r="B223" i="2"/>
  <c r="J223" i="2"/>
  <c r="F216" i="2"/>
  <c r="F220" i="2"/>
  <c r="S222" i="2"/>
  <c r="U216" i="2"/>
  <c r="U217" i="2"/>
  <c r="G219" i="2"/>
  <c r="W223" i="2"/>
  <c r="T217" i="2"/>
  <c r="V216" i="2"/>
  <c r="D217" i="2"/>
  <c r="D218" i="2"/>
  <c r="P218" i="2"/>
  <c r="N218" i="2"/>
  <c r="N219" i="2"/>
  <c r="I220" i="2"/>
  <c r="K223" i="2"/>
  <c r="V220" i="2"/>
  <c r="V221" i="2"/>
  <c r="D221" i="2"/>
  <c r="R216" i="2"/>
  <c r="R221" i="2"/>
  <c r="Y209" i="2"/>
  <c r="H206" i="2"/>
  <c r="M167" i="2"/>
  <c r="H210" i="2"/>
  <c r="M183" i="2"/>
  <c r="H214" i="2"/>
  <c r="Y207" i="2"/>
  <c r="AC207" i="2" s="1"/>
  <c r="H209" i="2"/>
  <c r="M207" i="2"/>
  <c r="M209" i="2"/>
  <c r="H207" i="2"/>
  <c r="H213" i="2"/>
  <c r="M213" i="2"/>
  <c r="Y212" i="2"/>
  <c r="Y214" i="2"/>
  <c r="AL214" i="2" s="1"/>
  <c r="AP213" i="2" l="1"/>
  <c r="AN213" i="2"/>
  <c r="AN209" i="2"/>
  <c r="AP209" i="2"/>
  <c r="AE206" i="2"/>
  <c r="AD207" i="2"/>
  <c r="AM210" i="2"/>
  <c r="AE208" i="2"/>
  <c r="AK209" i="2"/>
  <c r="AG206" i="2"/>
  <c r="Y220" i="2"/>
  <c r="AN211" i="2"/>
  <c r="AK213" i="2"/>
  <c r="AG208" i="2"/>
  <c r="AF209" i="2"/>
  <c r="Z221" i="2"/>
  <c r="AH209" i="2"/>
  <c r="AI208" i="2"/>
  <c r="Z210" i="2"/>
  <c r="Z219" i="2" s="1"/>
  <c r="AC210" i="2"/>
  <c r="AJ213" i="2"/>
  <c r="AI213" i="2"/>
  <c r="AP207" i="2"/>
  <c r="AN207" i="2"/>
  <c r="AN208" i="2"/>
  <c r="AP208" i="2"/>
  <c r="AG207" i="2"/>
  <c r="AI209" i="2"/>
  <c r="AH208" i="2"/>
  <c r="AF207" i="2"/>
  <c r="AP206" i="2"/>
  <c r="AN206" i="2"/>
  <c r="AL213" i="2"/>
  <c r="AD206" i="2"/>
  <c r="AE210" i="2"/>
  <c r="AJ210" i="2"/>
  <c r="AM206" i="2"/>
  <c r="AK207" i="2"/>
  <c r="AG209" i="2"/>
  <c r="AE213" i="2"/>
  <c r="AI211" i="2"/>
  <c r="AM208" i="2"/>
  <c r="AJ207" i="2"/>
  <c r="AH207" i="2"/>
  <c r="AF211" i="2"/>
  <c r="AL206" i="2"/>
  <c r="AN214" i="2"/>
  <c r="AK206" i="2"/>
  <c r="AC206" i="2"/>
  <c r="AF213" i="2"/>
  <c r="AN212" i="2"/>
  <c r="AP212" i="2"/>
  <c r="AA213" i="2"/>
  <c r="AA222" i="2" s="1"/>
  <c r="AH210" i="2"/>
  <c r="AJ206" i="2"/>
  <c r="AM211" i="2"/>
  <c r="AF210" i="2"/>
  <c r="AI207" i="2"/>
  <c r="AG211" i="2"/>
  <c r="AA208" i="2"/>
  <c r="AL207" i="2"/>
  <c r="AN210" i="2"/>
  <c r="AE209" i="2"/>
  <c r="AK210" i="2"/>
  <c r="AG213" i="2"/>
  <c r="AC209" i="2"/>
  <c r="AM213" i="2"/>
  <c r="AD211" i="2"/>
  <c r="AD208" i="2"/>
  <c r="AE212" i="2"/>
  <c r="AC214" i="2"/>
  <c r="AD213" i="2"/>
  <c r="AJ212" i="2"/>
  <c r="AC208" i="2"/>
  <c r="AC211" i="2"/>
  <c r="AA209" i="2"/>
  <c r="Z217" i="2"/>
  <c r="AA207" i="2"/>
  <c r="Z222" i="2"/>
  <c r="AA202" i="2"/>
  <c r="AA214" i="2" s="1"/>
  <c r="Y216" i="2"/>
  <c r="Z220" i="2"/>
  <c r="M217" i="2"/>
  <c r="M222" i="2"/>
  <c r="M211" i="2"/>
  <c r="AP211" i="2" s="1"/>
  <c r="AA187" i="2"/>
  <c r="AA211" i="2" s="1"/>
  <c r="H222" i="2"/>
  <c r="H218" i="2"/>
  <c r="M214" i="2"/>
  <c r="M223" i="2" s="1"/>
  <c r="M210" i="2"/>
  <c r="M219" i="2" s="1"/>
  <c r="AA183" i="2"/>
  <c r="AA210" i="2" s="1"/>
  <c r="AA219" i="2" s="1"/>
  <c r="H220" i="2"/>
  <c r="M206" i="2"/>
  <c r="AA167" i="2"/>
  <c r="AA206" i="2" s="1"/>
  <c r="Y217" i="2"/>
  <c r="Y223" i="2"/>
  <c r="Y221" i="2"/>
  <c r="H216" i="2"/>
  <c r="M216" i="2"/>
  <c r="H219" i="2"/>
  <c r="Y218" i="2"/>
  <c r="M218" i="2"/>
  <c r="H223" i="2"/>
  <c r="Y222" i="2"/>
  <c r="H217" i="2"/>
  <c r="Y219" i="2"/>
  <c r="AA223" i="2" l="1"/>
  <c r="AP214" i="2"/>
  <c r="M221" i="2"/>
  <c r="AA218" i="2"/>
  <c r="AP210" i="2"/>
  <c r="AA220" i="2"/>
  <c r="AA216" i="2"/>
  <c r="AA217" i="2"/>
  <c r="AA221" i="2"/>
  <c r="M220" i="2"/>
</calcChain>
</file>

<file path=xl/sharedStrings.xml><?xml version="1.0" encoding="utf-8"?>
<sst xmlns="http://schemas.openxmlformats.org/spreadsheetml/2006/main" count="4361" uniqueCount="72">
  <si>
    <t>Period</t>
  </si>
  <si>
    <t>variable</t>
  </si>
  <si>
    <t>Value</t>
  </si>
  <si>
    <t>HCE_Item</t>
  </si>
  <si>
    <t>Compensation of Employees</t>
  </si>
  <si>
    <t>Consumption of Fixed Capital</t>
  </si>
  <si>
    <t>Government Transfers to Hhlds</t>
  </si>
  <si>
    <t>Hhld Transfers to Government</t>
  </si>
  <si>
    <t>Hhld Transfers to Private Sector</t>
  </si>
  <si>
    <t>Pension Funds Revaluation Gains</t>
  </si>
  <si>
    <t>Private Sector Transfers to Hhlds</t>
  </si>
  <si>
    <t>Profit from Production</t>
  </si>
  <si>
    <t>Property Income Payable</t>
  </si>
  <si>
    <t>Property Income Receivable</t>
  </si>
  <si>
    <t>Total income payable</t>
  </si>
  <si>
    <t>Total income receivable</t>
  </si>
  <si>
    <t>confidentialised_Component</t>
  </si>
  <si>
    <t>Household Consumption Expenditure</t>
  </si>
  <si>
    <t>Alcoholic beverages, tobacco and illicit drugs</t>
  </si>
  <si>
    <t>Clothing and footwear</t>
  </si>
  <si>
    <t>Communication</t>
  </si>
  <si>
    <t>Food and nonalcoholic beverages</t>
  </si>
  <si>
    <t>Household contents and services</t>
  </si>
  <si>
    <t>Housing and household utilities</t>
  </si>
  <si>
    <t>Miscellaneous goods and services</t>
  </si>
  <si>
    <t>Recreation and culture</t>
  </si>
  <si>
    <t>Restaurants and hotels</t>
  </si>
  <si>
    <t>Transport</t>
  </si>
  <si>
    <t>Imports of low value goods purchased directly by households</t>
  </si>
  <si>
    <t>Row Labels</t>
  </si>
  <si>
    <t>Column Labels</t>
  </si>
  <si>
    <t>Sum of Value</t>
  </si>
  <si>
    <t>Total Income</t>
  </si>
  <si>
    <t>Disposable Income</t>
  </si>
  <si>
    <t>HCE</t>
  </si>
  <si>
    <t>Savings</t>
  </si>
  <si>
    <t>x</t>
  </si>
  <si>
    <t>Transaction_Label</t>
  </si>
  <si>
    <t>Gross surplus</t>
  </si>
  <si>
    <t>Gross entrepreneurial income</t>
  </si>
  <si>
    <t>Primary income payable</t>
  </si>
  <si>
    <t>Primary income receivable</t>
  </si>
  <si>
    <t>Balance on net primary income</t>
  </si>
  <si>
    <t>Secondary income payable</t>
  </si>
  <si>
    <t>Secondary income receivable</t>
  </si>
  <si>
    <t>Balance on net secondary income</t>
  </si>
  <si>
    <t>Gross disposable income</t>
  </si>
  <si>
    <t>Net disposable income</t>
  </si>
  <si>
    <t>Use of net disposable income</t>
  </si>
  <si>
    <t>Net saving</t>
  </si>
  <si>
    <t>Compensation of employees receivable</t>
  </si>
  <si>
    <t>Interest payable</t>
  </si>
  <si>
    <t>Interest receivable</t>
  </si>
  <si>
    <t>Dividends receivable</t>
  </si>
  <si>
    <t>Investment income attributable to insurance and pension policyholders receivable</t>
  </si>
  <si>
    <t>Other overseas investment income receivable</t>
  </si>
  <si>
    <t>Taxes on income paid</t>
  </si>
  <si>
    <t>Other current taxes payable</t>
  </si>
  <si>
    <t>Households' actual pension contributions payable</t>
  </si>
  <si>
    <t>Households' actual non-pension contributions payable</t>
  </si>
  <si>
    <t>Social security pension benefits receivable</t>
  </si>
  <si>
    <t>Social security non-pension benefits in cash receivable</t>
  </si>
  <si>
    <t>Social assistance benefits in cash receivable</t>
  </si>
  <si>
    <t>Miscellaneous current transfers payable</t>
  </si>
  <si>
    <t>NA</t>
  </si>
  <si>
    <t>Miscellaneous current transfers receivable</t>
  </si>
  <si>
    <t>Non-life insurance premiums and claims payable</t>
  </si>
  <si>
    <t>Non-life insurance premiums and claims receivable</t>
  </si>
  <si>
    <t>Adjustment for the change in pension entitlements</t>
  </si>
  <si>
    <t>Final consumption expenditure</t>
  </si>
  <si>
    <t>Consumption of fixed capital (-)</t>
  </si>
  <si>
    <t>HCE Diff between ISA QGDP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</si>
</sst>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1" applyFont="1"/>
    <xf numFmtId="0" fontId="18" fillId="0" borderId="0" xfId="0" applyFont="1"/>
    <xf numFmtId="0" fontId="18" fillId="0" borderId="0" xfId="0" applyFont="1" applyAlignment="1">
      <alignment wrapText="1"/>
    </xf>
    <xf numFmtId="0" fontId="18" fillId="0" borderId="0" xfId="0" applyNumberFormat="1" applyFont="1"/>
    <xf numFmtId="0" fontId="18" fillId="0" borderId="0" xfId="0" applyFont="1" applyAlignment="1">
      <alignment horizontal="right"/>
    </xf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font>
        <color rgb="FFFF0000"/>
      </font>
    </dxf>
    <dxf>
      <font>
        <b/>
      </font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Hogan" refreshedDate="45942.524519444443" createdVersion="8" refreshedVersion="8" minRefreshableVersion="3" recordCount="2112" xr:uid="{FB83E0A6-906C-4F33-90BE-8038CA974CF8}">
  <cacheSource type="worksheet">
    <worksheetSource ref="A1:D2113" sheet="Budget_Constraint"/>
  </cacheSource>
  <cacheFields count="7">
    <cacheField name="Period" numFmtId="14">
      <sharedItems containsSemiMixedTypes="0" containsNonDate="0" containsDate="1" containsString="0" minDate="1987-06-30T00:00:00" maxDate="2025-07-01T00:00:00" count="153">
        <d v="2016-06-30T00:00:00"/>
        <d v="2016-09-30T00:00:00"/>
        <d v="2016-12-31T00:00:00"/>
        <d v="2017-03-31T00:00:00"/>
        <d v="2017-06-30T00:00:00"/>
        <d v="2017-09-30T00:00:00"/>
        <d v="2017-12-31T00:00:00"/>
        <d v="2018-03-31T00:00:00"/>
        <d v="2018-06-30T00:00:00"/>
        <d v="2018-09-30T00:00:00"/>
        <d v="2018-12-31T00:00:00"/>
        <d v="2019-03-31T00:00:00"/>
        <d v="2019-06-30T00:00:00"/>
        <d v="2019-09-30T00:00:00"/>
        <d v="2019-12-31T00:00:00"/>
        <d v="2020-03-31T00:00:00"/>
        <d v="2020-06-30T00:00:00"/>
        <d v="2020-09-30T00:00:00"/>
        <d v="2020-12-31T00:00:00"/>
        <d v="2021-03-31T00:00:00"/>
        <d v="2021-06-30T00:00:00"/>
        <d v="2021-09-30T00:00:00"/>
        <d v="2021-12-31T00:00:00"/>
        <d v="2022-03-31T00:00:00"/>
        <d v="2022-06-30T00:00:00"/>
        <d v="2022-09-30T00:00:00"/>
        <d v="2022-12-31T00:00:00"/>
        <d v="2023-03-31T00:00:00"/>
        <d v="2023-06-30T00:00:00"/>
        <d v="2023-09-30T00:00:00"/>
        <d v="2023-12-31T00:00:00"/>
        <d v="2024-03-31T00:00:00"/>
        <d v="2024-06-30T00:00:00"/>
        <d v="2024-09-30T00:00:00"/>
        <d v="2024-12-31T00:00:00"/>
        <d v="2025-03-31T00:00:00"/>
        <d v="2025-06-30T00:00:00"/>
        <d v="1987-06-30T00:00:00"/>
        <d v="1987-09-30T00:00:00"/>
        <d v="1987-12-31T00:00:00"/>
        <d v="1988-03-31T00:00:00"/>
        <d v="1988-06-30T00:00:00"/>
        <d v="1988-09-30T00:00:00"/>
        <d v="1988-12-31T00:00:00"/>
        <d v="1989-03-31T00:00:00"/>
        <d v="1989-06-30T00:00:00"/>
        <d v="1989-09-30T00:00:00"/>
        <d v="1989-12-31T00:00:00"/>
        <d v="1990-03-31T00:00:00"/>
        <d v="1990-06-30T00:00:00"/>
        <d v="1990-09-30T00:00:00"/>
        <d v="1990-12-31T00:00:00"/>
        <d v="1991-03-31T00:00:00"/>
        <d v="1991-06-30T00:00:00"/>
        <d v="1991-09-30T00:00:00"/>
        <d v="1991-12-31T00:00:00"/>
        <d v="1992-03-31T00:00:00"/>
        <d v="1992-06-30T00:00:00"/>
        <d v="1992-09-30T00:00:00"/>
        <d v="1992-12-31T00:00:00"/>
        <d v="1993-03-31T00:00:00"/>
        <d v="1993-06-30T00:00:00"/>
        <d v="1993-09-30T00:00:00"/>
        <d v="1993-12-31T00:00:00"/>
        <d v="1994-03-31T00:00:00"/>
        <d v="1994-06-30T00:00:00"/>
        <d v="1994-09-30T00:00:00"/>
        <d v="1994-12-31T00:00:00"/>
        <d v="1995-03-31T00:00:00"/>
        <d v="1995-06-30T00:00:00"/>
        <d v="1995-09-30T00:00:00"/>
        <d v="1995-12-31T00:00:00"/>
        <d v="1996-03-31T00:00:00"/>
        <d v="1996-06-30T00:00:00"/>
        <d v="1996-09-30T00:00:00"/>
        <d v="1996-12-31T00:00:00"/>
        <d v="1997-03-31T00:00:00"/>
        <d v="1997-06-30T00:00:00"/>
        <d v="1997-09-30T00:00:00"/>
        <d v="1997-12-31T00:00:00"/>
        <d v="1998-03-31T00:00:00"/>
        <d v="1998-06-30T00:00:00"/>
        <d v="1998-09-30T00:00:00"/>
        <d v="1998-12-31T00:00:00"/>
        <d v="1999-03-31T00:00:00"/>
        <d v="1999-06-30T00:00:00"/>
        <d v="1999-09-30T00:00:00"/>
        <d v="1999-12-31T00:00:00"/>
        <d v="2000-03-31T00:00:00"/>
        <d v="2000-06-30T00:00:00"/>
        <d v="2000-09-30T00:00:00"/>
        <d v="2000-12-31T00:00:00"/>
        <d v="2001-03-31T00:00:00"/>
        <d v="2001-06-30T00:00:00"/>
        <d v="2001-09-30T00:00:00"/>
        <d v="2001-12-31T00:00:00"/>
        <d v="2002-03-31T00:00:00"/>
        <d v="2002-06-30T00:00:00"/>
        <d v="2002-09-30T00:00:00"/>
        <d v="2002-12-31T00:00:00"/>
        <d v="2003-03-31T00:00:00"/>
        <d v="2003-06-30T00:00:00"/>
        <d v="2003-09-30T00:00:00"/>
        <d v="2003-12-31T00:00:00"/>
        <d v="2004-03-31T00:00:00"/>
        <d v="2004-06-30T00:00:00"/>
        <d v="2004-09-30T00:00:00"/>
        <d v="2004-12-31T00:00:00"/>
        <d v="2005-03-31T00:00:00"/>
        <d v="2005-06-30T00:00:00"/>
        <d v="2005-09-30T00:00:00"/>
        <d v="2005-12-31T00:00:00"/>
        <d v="2006-03-31T00:00:00"/>
        <d v="2006-06-30T00:00:00"/>
        <d v="2006-09-30T00:00:00"/>
        <d v="2006-12-31T00:00:00"/>
        <d v="2007-03-31T00:00:00"/>
        <d v="2007-06-30T00:00:00"/>
        <d v="2007-09-30T00:00:00"/>
        <d v="2007-12-31T00:00:00"/>
        <d v="2008-03-31T00:00:00"/>
        <d v="2008-06-30T00:00:00"/>
        <d v="2008-09-30T00:00:00"/>
        <d v="2008-12-31T00:00:00"/>
        <d v="2009-03-31T00:00:00"/>
        <d v="2009-06-30T00:00:00"/>
        <d v="2009-09-30T00:00:00"/>
        <d v="2009-12-31T00:00:00"/>
        <d v="2010-03-31T00:00:00"/>
        <d v="2010-06-30T00:00:00"/>
        <d v="2010-09-30T00:00:00"/>
        <d v="2010-12-31T00:00:00"/>
        <d v="2011-03-31T00:00:00"/>
        <d v="2011-06-30T00:00:00"/>
        <d v="2011-09-30T00:00:00"/>
        <d v="2011-12-31T00:00:00"/>
        <d v="2012-03-31T00:00:00"/>
        <d v="2012-06-30T00:00:00"/>
        <d v="2012-09-30T00:00:00"/>
        <d v="2012-12-31T00:00:00"/>
        <d v="2013-03-31T00:00:00"/>
        <d v="2013-06-30T00:00:00"/>
        <d v="2013-09-30T00:00:00"/>
        <d v="2013-12-31T00:00:00"/>
        <d v="2014-03-31T00:00:00"/>
        <d v="2014-06-30T00:00:00"/>
        <d v="2014-09-30T00:00:00"/>
        <d v="2014-12-31T00:00:00"/>
        <d v="2015-03-31T00:00:00"/>
        <d v="2015-06-30T00:00:00"/>
        <d v="2015-09-30T00:00:00"/>
        <d v="2015-12-31T00:00:00"/>
        <d v="2016-03-31T00:00:00"/>
      </sharedItems>
      <fieldGroup par="6"/>
    </cacheField>
    <cacheField name="variable" numFmtId="0">
      <sharedItems/>
    </cacheField>
    <cacheField name="Value" numFmtId="0">
      <sharedItems containsSemiMixedTypes="0" containsString="0" containsNumber="1" containsInteger="1" minValue="2" maxValue="88974"/>
    </cacheField>
    <cacheField name="HCE_Item" numFmtId="0">
      <sharedItems count="24">
        <s v="Compensation of Employees"/>
        <s v="Consumption of Fixed Capital"/>
        <s v="Government Transfers to Hhlds"/>
        <s v="Hhld Transfers to Government"/>
        <s v="Hhld Transfers to Private Sector"/>
        <s v="Pension Funds Revaluation Gains"/>
        <s v="Private Sector Transfers to Hhlds"/>
        <s v="Profit from Production"/>
        <s v="Property Income Payable"/>
        <s v="Property Income Receivable"/>
        <s v="Total income payable"/>
        <s v="Total income receivable"/>
        <s v="confidentialised_Component"/>
        <s v="Alcoholic beverages, tobacco and illicit drugs"/>
        <s v="Clothing and footwear"/>
        <s v="Communication"/>
        <s v="Food and nonalcoholic beverages"/>
        <s v="Household contents and services"/>
        <s v="Housing and household utilities"/>
        <s v="Miscellaneous goods and services"/>
        <s v="Recreation and culture"/>
        <s v="Restaurants and hotels"/>
        <s v="Transport"/>
        <s v="Imports of low value goods purchased directly by households"/>
      </sharedItems>
    </cacheField>
    <cacheField name="Months (Period)" numFmtId="0" databaseField="0">
      <fieldGroup base="0">
        <rangePr groupBy="months" startDate="1987-06-30T00:00:00" endDate="2025-07-01T00:00:00"/>
        <groupItems count="14">
          <s v="&lt;30/06/1987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/07/2025"/>
        </groupItems>
      </fieldGroup>
    </cacheField>
    <cacheField name="Quarters (Period)" numFmtId="0" databaseField="0">
      <fieldGroup base="0">
        <rangePr groupBy="quarters" startDate="1987-06-30T00:00:00" endDate="2025-07-01T00:00:00"/>
        <groupItems count="6">
          <s v="&lt;30/06/1987"/>
          <s v="Qtr1"/>
          <s v="Qtr2"/>
          <s v="Qtr3"/>
          <s v="Qtr4"/>
          <s v="&gt;1/07/2025"/>
        </groupItems>
      </fieldGroup>
    </cacheField>
    <cacheField name="Years (Period)" numFmtId="0" databaseField="0">
      <fieldGroup base="0">
        <rangePr groupBy="years" startDate="1987-06-30T00:00:00" endDate="2025-07-01T00:00:00"/>
        <groupItems count="41">
          <s v="&lt;30/06/1987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2">
  <r>
    <x v="0"/>
    <s v="Compensation of Employees"/>
    <n v="28421"/>
    <x v="0"/>
  </r>
  <r>
    <x v="1"/>
    <s v="Compensation of Employees"/>
    <n v="28710"/>
    <x v="0"/>
  </r>
  <r>
    <x v="2"/>
    <s v="Compensation of Employees"/>
    <n v="28706"/>
    <x v="0"/>
  </r>
  <r>
    <x v="3"/>
    <s v="Compensation of Employees"/>
    <n v="29623"/>
    <x v="0"/>
  </r>
  <r>
    <x v="4"/>
    <s v="Compensation of Employees"/>
    <n v="29835"/>
    <x v="0"/>
  </r>
  <r>
    <x v="5"/>
    <s v="Compensation of Employees"/>
    <n v="30310"/>
    <x v="0"/>
  </r>
  <r>
    <x v="6"/>
    <s v="Compensation of Employees"/>
    <n v="30996"/>
    <x v="0"/>
  </r>
  <r>
    <x v="7"/>
    <s v="Compensation of Employees"/>
    <n v="31376"/>
    <x v="0"/>
  </r>
  <r>
    <x v="8"/>
    <s v="Compensation of Employees"/>
    <n v="31806"/>
    <x v="0"/>
  </r>
  <r>
    <x v="9"/>
    <s v="Compensation of Employees"/>
    <n v="32195"/>
    <x v="0"/>
  </r>
  <r>
    <x v="10"/>
    <s v="Compensation of Employees"/>
    <n v="33157"/>
    <x v="0"/>
  </r>
  <r>
    <x v="11"/>
    <s v="Compensation of Employees"/>
    <n v="33072"/>
    <x v="0"/>
  </r>
  <r>
    <x v="12"/>
    <s v="Compensation of Employees"/>
    <n v="33900"/>
    <x v="0"/>
  </r>
  <r>
    <x v="13"/>
    <s v="Compensation of Employees"/>
    <n v="34491"/>
    <x v="0"/>
  </r>
  <r>
    <x v="14"/>
    <s v="Compensation of Employees"/>
    <n v="35050"/>
    <x v="0"/>
  </r>
  <r>
    <x v="15"/>
    <s v="Compensation of Employees"/>
    <n v="35615"/>
    <x v="0"/>
  </r>
  <r>
    <x v="16"/>
    <s v="Compensation of Employees"/>
    <n v="34360"/>
    <x v="0"/>
  </r>
  <r>
    <x v="17"/>
    <s v="Compensation of Employees"/>
    <n v="35818"/>
    <x v="0"/>
  </r>
  <r>
    <x v="18"/>
    <s v="Compensation of Employees"/>
    <n v="36508"/>
    <x v="0"/>
  </r>
  <r>
    <x v="19"/>
    <s v="Compensation of Employees"/>
    <n v="37412"/>
    <x v="0"/>
  </r>
  <r>
    <x v="20"/>
    <s v="Compensation of Employees"/>
    <n v="38344"/>
    <x v="0"/>
  </r>
  <r>
    <x v="21"/>
    <s v="Compensation of Employees"/>
    <n v="38925"/>
    <x v="0"/>
  </r>
  <r>
    <x v="22"/>
    <s v="Compensation of Employees"/>
    <n v="40326"/>
    <x v="0"/>
  </r>
  <r>
    <x v="23"/>
    <s v="Compensation of Employees"/>
    <n v="40622"/>
    <x v="0"/>
  </r>
  <r>
    <x v="24"/>
    <s v="Compensation of Employees"/>
    <n v="41516"/>
    <x v="0"/>
  </r>
  <r>
    <x v="25"/>
    <s v="Compensation of Employees"/>
    <n v="42701"/>
    <x v="0"/>
  </r>
  <r>
    <x v="26"/>
    <s v="Compensation of Employees"/>
    <n v="43201"/>
    <x v="0"/>
  </r>
  <r>
    <x v="27"/>
    <s v="Compensation of Employees"/>
    <n v="43990"/>
    <x v="0"/>
  </r>
  <r>
    <x v="28"/>
    <s v="Compensation of Employees"/>
    <n v="44988"/>
    <x v="0"/>
  </r>
  <r>
    <x v="29"/>
    <s v="Compensation of Employees"/>
    <n v="45987"/>
    <x v="0"/>
  </r>
  <r>
    <x v="30"/>
    <s v="Compensation of Employees"/>
    <n v="46705"/>
    <x v="0"/>
  </r>
  <r>
    <x v="31"/>
    <s v="Compensation of Employees"/>
    <n v="47261"/>
    <x v="0"/>
  </r>
  <r>
    <x v="32"/>
    <s v="Compensation of Employees"/>
    <n v="47623"/>
    <x v="0"/>
  </r>
  <r>
    <x v="33"/>
    <s v="Compensation of Employees"/>
    <n v="47569"/>
    <x v="0"/>
  </r>
  <r>
    <x v="34"/>
    <s v="Compensation of Employees"/>
    <n v="47449"/>
    <x v="0"/>
  </r>
  <r>
    <x v="35"/>
    <s v="Compensation of Employees"/>
    <n v="48095"/>
    <x v="0"/>
  </r>
  <r>
    <x v="36"/>
    <s v="Compensation of Employees"/>
    <n v="48138"/>
    <x v="0"/>
  </r>
  <r>
    <x v="0"/>
    <s v="Consumption of Fixed Capital"/>
    <n v="1233"/>
    <x v="1"/>
  </r>
  <r>
    <x v="1"/>
    <s v="Consumption of Fixed Capital"/>
    <n v="1264"/>
    <x v="1"/>
  </r>
  <r>
    <x v="2"/>
    <s v="Consumption of Fixed Capital"/>
    <n v="1297"/>
    <x v="1"/>
  </r>
  <r>
    <x v="3"/>
    <s v="Consumption of Fixed Capital"/>
    <n v="1329"/>
    <x v="1"/>
  </r>
  <r>
    <x v="4"/>
    <s v="Consumption of Fixed Capital"/>
    <n v="1333"/>
    <x v="1"/>
  </r>
  <r>
    <x v="5"/>
    <s v="Consumption of Fixed Capital"/>
    <n v="1371"/>
    <x v="1"/>
  </r>
  <r>
    <x v="6"/>
    <s v="Consumption of Fixed Capital"/>
    <n v="1400"/>
    <x v="1"/>
  </r>
  <r>
    <x v="7"/>
    <s v="Consumption of Fixed Capital"/>
    <n v="1433"/>
    <x v="1"/>
  </r>
  <r>
    <x v="8"/>
    <s v="Consumption of Fixed Capital"/>
    <n v="1435"/>
    <x v="1"/>
  </r>
  <r>
    <x v="9"/>
    <s v="Consumption of Fixed Capital"/>
    <n v="1464"/>
    <x v="1"/>
  </r>
  <r>
    <x v="10"/>
    <s v="Consumption of Fixed Capital"/>
    <n v="1494"/>
    <x v="1"/>
  </r>
  <r>
    <x v="11"/>
    <s v="Consumption of Fixed Capital"/>
    <n v="1522"/>
    <x v="1"/>
  </r>
  <r>
    <x v="12"/>
    <s v="Consumption of Fixed Capital"/>
    <n v="1523"/>
    <x v="1"/>
  </r>
  <r>
    <x v="13"/>
    <s v="Consumption of Fixed Capital"/>
    <n v="1550"/>
    <x v="1"/>
  </r>
  <r>
    <x v="14"/>
    <s v="Consumption of Fixed Capital"/>
    <n v="1584"/>
    <x v="1"/>
  </r>
  <r>
    <x v="15"/>
    <s v="Consumption of Fixed Capital"/>
    <n v="1616"/>
    <x v="1"/>
  </r>
  <r>
    <x v="16"/>
    <s v="Consumption of Fixed Capital"/>
    <n v="1644"/>
    <x v="1"/>
  </r>
  <r>
    <x v="17"/>
    <s v="Consumption of Fixed Capital"/>
    <n v="1661"/>
    <x v="1"/>
  </r>
  <r>
    <x v="18"/>
    <s v="Consumption of Fixed Capital"/>
    <n v="1669"/>
    <x v="1"/>
  </r>
  <r>
    <x v="19"/>
    <s v="Consumption of Fixed Capital"/>
    <n v="1681"/>
    <x v="1"/>
  </r>
  <r>
    <x v="20"/>
    <s v="Consumption of Fixed Capital"/>
    <n v="1810"/>
    <x v="1"/>
  </r>
  <r>
    <x v="21"/>
    <s v="Consumption of Fixed Capital"/>
    <n v="1873"/>
    <x v="1"/>
  </r>
  <r>
    <x v="22"/>
    <s v="Consumption of Fixed Capital"/>
    <n v="1945"/>
    <x v="1"/>
  </r>
  <r>
    <x v="23"/>
    <s v="Consumption of Fixed Capital"/>
    <n v="2037"/>
    <x v="1"/>
  </r>
  <r>
    <x v="24"/>
    <s v="Consumption of Fixed Capital"/>
    <n v="2061"/>
    <x v="1"/>
  </r>
  <r>
    <x v="25"/>
    <s v="Consumption of Fixed Capital"/>
    <n v="2181"/>
    <x v="1"/>
  </r>
  <r>
    <x v="26"/>
    <s v="Consumption of Fixed Capital"/>
    <n v="2287"/>
    <x v="1"/>
  </r>
  <r>
    <x v="27"/>
    <s v="Consumption of Fixed Capital"/>
    <n v="2376"/>
    <x v="1"/>
  </r>
  <r>
    <x v="28"/>
    <s v="Consumption of Fixed Capital"/>
    <n v="2308"/>
    <x v="1"/>
  </r>
  <r>
    <x v="29"/>
    <s v="Consumption of Fixed Capital"/>
    <n v="2375"/>
    <x v="1"/>
  </r>
  <r>
    <x v="30"/>
    <s v="Consumption of Fixed Capital"/>
    <n v="2427"/>
    <x v="1"/>
  </r>
  <r>
    <x v="31"/>
    <s v="Consumption of Fixed Capital"/>
    <n v="2470"/>
    <x v="1"/>
  </r>
  <r>
    <x v="32"/>
    <s v="Consumption of Fixed Capital"/>
    <n v="2471"/>
    <x v="1"/>
  </r>
  <r>
    <x v="33"/>
    <s v="Consumption of Fixed Capital"/>
    <n v="2509"/>
    <x v="1"/>
  </r>
  <r>
    <x v="34"/>
    <s v="Consumption of Fixed Capital"/>
    <n v="2526"/>
    <x v="1"/>
  </r>
  <r>
    <x v="35"/>
    <s v="Consumption of Fixed Capital"/>
    <n v="2545"/>
    <x v="1"/>
  </r>
  <r>
    <x v="36"/>
    <s v="Consumption of Fixed Capital"/>
    <n v="2569"/>
    <x v="1"/>
  </r>
  <r>
    <x v="0"/>
    <s v="Government Transfers to Hhlds"/>
    <n v="7648"/>
    <x v="2"/>
  </r>
  <r>
    <x v="1"/>
    <s v="Government Transfers to Hhlds"/>
    <n v="7643"/>
    <x v="2"/>
  </r>
  <r>
    <x v="2"/>
    <s v="Government Transfers to Hhlds"/>
    <n v="7753"/>
    <x v="2"/>
  </r>
  <r>
    <x v="3"/>
    <s v="Government Transfers to Hhlds"/>
    <n v="7864"/>
    <x v="2"/>
  </r>
  <r>
    <x v="4"/>
    <s v="Government Transfers to Hhlds"/>
    <n v="7891"/>
    <x v="2"/>
  </r>
  <r>
    <x v="5"/>
    <s v="Government Transfers to Hhlds"/>
    <n v="7872"/>
    <x v="2"/>
  </r>
  <r>
    <x v="6"/>
    <s v="Government Transfers to Hhlds"/>
    <n v="8020"/>
    <x v="2"/>
  </r>
  <r>
    <x v="7"/>
    <s v="Government Transfers to Hhlds"/>
    <n v="8161"/>
    <x v="2"/>
  </r>
  <r>
    <x v="8"/>
    <s v="Government Transfers to Hhlds"/>
    <n v="8073"/>
    <x v="2"/>
  </r>
  <r>
    <x v="9"/>
    <s v="Government Transfers to Hhlds"/>
    <n v="8588"/>
    <x v="2"/>
  </r>
  <r>
    <x v="10"/>
    <s v="Government Transfers to Hhlds"/>
    <n v="8601"/>
    <x v="2"/>
  </r>
  <r>
    <x v="11"/>
    <s v="Government Transfers to Hhlds"/>
    <n v="8719"/>
    <x v="2"/>
  </r>
  <r>
    <x v="12"/>
    <s v="Government Transfers to Hhlds"/>
    <n v="9030"/>
    <x v="2"/>
  </r>
  <r>
    <x v="13"/>
    <s v="Government Transfers to Hhlds"/>
    <n v="9166"/>
    <x v="2"/>
  </r>
  <r>
    <x v="14"/>
    <s v="Government Transfers to Hhlds"/>
    <n v="9211"/>
    <x v="2"/>
  </r>
  <r>
    <x v="15"/>
    <s v="Government Transfers to Hhlds"/>
    <n v="9473"/>
    <x v="2"/>
  </r>
  <r>
    <x v="16"/>
    <s v="Government Transfers to Hhlds"/>
    <n v="10188"/>
    <x v="2"/>
  </r>
  <r>
    <x v="17"/>
    <s v="Government Transfers to Hhlds"/>
    <n v="10346"/>
    <x v="2"/>
  </r>
  <r>
    <x v="18"/>
    <s v="Government Transfers to Hhlds"/>
    <n v="10284"/>
    <x v="2"/>
  </r>
  <r>
    <x v="19"/>
    <s v="Government Transfers to Hhlds"/>
    <n v="10476"/>
    <x v="2"/>
  </r>
  <r>
    <x v="20"/>
    <s v="Government Transfers to Hhlds"/>
    <n v="10722"/>
    <x v="2"/>
  </r>
  <r>
    <x v="21"/>
    <s v="Government Transfers to Hhlds"/>
    <n v="10632"/>
    <x v="2"/>
  </r>
  <r>
    <x v="22"/>
    <s v="Government Transfers to Hhlds"/>
    <n v="11007"/>
    <x v="2"/>
  </r>
  <r>
    <x v="23"/>
    <s v="Government Transfers to Hhlds"/>
    <n v="11146"/>
    <x v="2"/>
  </r>
  <r>
    <x v="24"/>
    <s v="Government Transfers to Hhlds"/>
    <n v="11528"/>
    <x v="2"/>
  </r>
  <r>
    <x v="25"/>
    <s v="Government Transfers to Hhlds"/>
    <n v="12007"/>
    <x v="2"/>
  </r>
  <r>
    <x v="26"/>
    <s v="Government Transfers to Hhlds"/>
    <n v="12132"/>
    <x v="2"/>
  </r>
  <r>
    <x v="27"/>
    <s v="Government Transfers to Hhlds"/>
    <n v="12251"/>
    <x v="2"/>
  </r>
  <r>
    <x v="28"/>
    <s v="Government Transfers to Hhlds"/>
    <n v="12531"/>
    <x v="2"/>
  </r>
  <r>
    <x v="29"/>
    <s v="Government Transfers to Hhlds"/>
    <n v="12703"/>
    <x v="2"/>
  </r>
  <r>
    <x v="30"/>
    <s v="Government Transfers to Hhlds"/>
    <n v="13114"/>
    <x v="2"/>
  </r>
  <r>
    <x v="31"/>
    <s v="Government Transfers to Hhlds"/>
    <n v="13412"/>
    <x v="2"/>
  </r>
  <r>
    <x v="32"/>
    <s v="Government Transfers to Hhlds"/>
    <n v="13636"/>
    <x v="2"/>
  </r>
  <r>
    <x v="33"/>
    <s v="Government Transfers to Hhlds"/>
    <n v="13801"/>
    <x v="2"/>
  </r>
  <r>
    <x v="34"/>
    <s v="Government Transfers to Hhlds"/>
    <n v="14086"/>
    <x v="2"/>
  </r>
  <r>
    <x v="35"/>
    <s v="Government Transfers to Hhlds"/>
    <n v="14446"/>
    <x v="2"/>
  </r>
  <r>
    <x v="36"/>
    <s v="Government Transfers to Hhlds"/>
    <n v="14626"/>
    <x v="2"/>
  </r>
  <r>
    <x v="0"/>
    <s v="Hhld Transfers to Government"/>
    <n v="8645"/>
    <x v="3"/>
  </r>
  <r>
    <x v="1"/>
    <s v="Hhld Transfers to Government"/>
    <n v="8751"/>
    <x v="3"/>
  </r>
  <r>
    <x v="2"/>
    <s v="Hhld Transfers to Government"/>
    <n v="8833"/>
    <x v="3"/>
  </r>
  <r>
    <x v="3"/>
    <s v="Hhld Transfers to Government"/>
    <n v="8744"/>
    <x v="3"/>
  </r>
  <r>
    <x v="4"/>
    <s v="Hhld Transfers to Government"/>
    <n v="9280"/>
    <x v="3"/>
  </r>
  <r>
    <x v="5"/>
    <s v="Hhld Transfers to Government"/>
    <n v="9291"/>
    <x v="3"/>
  </r>
  <r>
    <x v="6"/>
    <s v="Hhld Transfers to Government"/>
    <n v="9270"/>
    <x v="3"/>
  </r>
  <r>
    <x v="7"/>
    <s v="Hhld Transfers to Government"/>
    <n v="9603"/>
    <x v="3"/>
  </r>
  <r>
    <x v="8"/>
    <s v="Hhld Transfers to Government"/>
    <n v="9326"/>
    <x v="3"/>
  </r>
  <r>
    <x v="9"/>
    <s v="Hhld Transfers to Government"/>
    <n v="9896"/>
    <x v="3"/>
  </r>
  <r>
    <x v="10"/>
    <s v="Hhld Transfers to Government"/>
    <n v="9985"/>
    <x v="3"/>
  </r>
  <r>
    <x v="11"/>
    <s v="Hhld Transfers to Government"/>
    <n v="10333"/>
    <x v="3"/>
  </r>
  <r>
    <x v="12"/>
    <s v="Hhld Transfers to Government"/>
    <n v="10392"/>
    <x v="3"/>
  </r>
  <r>
    <x v="13"/>
    <s v="Hhld Transfers to Government"/>
    <n v="10341"/>
    <x v="3"/>
  </r>
  <r>
    <x v="14"/>
    <s v="Hhld Transfers to Government"/>
    <n v="10849"/>
    <x v="3"/>
  </r>
  <r>
    <x v="15"/>
    <s v="Hhld Transfers to Government"/>
    <n v="10796"/>
    <x v="3"/>
  </r>
  <r>
    <x v="16"/>
    <s v="Hhld Transfers to Government"/>
    <n v="10245"/>
    <x v="3"/>
  </r>
  <r>
    <x v="17"/>
    <s v="Hhld Transfers to Government"/>
    <n v="11396"/>
    <x v="3"/>
  </r>
  <r>
    <x v="18"/>
    <s v="Hhld Transfers to Government"/>
    <n v="11480"/>
    <x v="3"/>
  </r>
  <r>
    <x v="19"/>
    <s v="Hhld Transfers to Government"/>
    <n v="11985"/>
    <x v="3"/>
  </r>
  <r>
    <x v="20"/>
    <s v="Hhld Transfers to Government"/>
    <n v="12613"/>
    <x v="3"/>
  </r>
  <r>
    <x v="21"/>
    <s v="Hhld Transfers to Government"/>
    <n v="12512"/>
    <x v="3"/>
  </r>
  <r>
    <x v="22"/>
    <s v="Hhld Transfers to Government"/>
    <n v="13357"/>
    <x v="3"/>
  </r>
  <r>
    <x v="23"/>
    <s v="Hhld Transfers to Government"/>
    <n v="13511"/>
    <x v="3"/>
  </r>
  <r>
    <x v="24"/>
    <s v="Hhld Transfers to Government"/>
    <n v="14229"/>
    <x v="3"/>
  </r>
  <r>
    <x v="25"/>
    <s v="Hhld Transfers to Government"/>
    <n v="14158"/>
    <x v="3"/>
  </r>
  <r>
    <x v="26"/>
    <s v="Hhld Transfers to Government"/>
    <n v="14259"/>
    <x v="3"/>
  </r>
  <r>
    <x v="27"/>
    <s v="Hhld Transfers to Government"/>
    <n v="14764"/>
    <x v="3"/>
  </r>
  <r>
    <x v="28"/>
    <s v="Hhld Transfers to Government"/>
    <n v="14550"/>
    <x v="3"/>
  </r>
  <r>
    <x v="29"/>
    <s v="Hhld Transfers to Government"/>
    <n v="15751"/>
    <x v="3"/>
  </r>
  <r>
    <x v="30"/>
    <s v="Hhld Transfers to Government"/>
    <n v="16144"/>
    <x v="3"/>
  </r>
  <r>
    <x v="31"/>
    <s v="Hhld Transfers to Government"/>
    <n v="16125"/>
    <x v="3"/>
  </r>
  <r>
    <x v="32"/>
    <s v="Hhld Transfers to Government"/>
    <n v="16467"/>
    <x v="3"/>
  </r>
  <r>
    <x v="33"/>
    <s v="Hhld Transfers to Government"/>
    <n v="16324"/>
    <x v="3"/>
  </r>
  <r>
    <x v="34"/>
    <s v="Hhld Transfers to Government"/>
    <n v="16079"/>
    <x v="3"/>
  </r>
  <r>
    <x v="35"/>
    <s v="Hhld Transfers to Government"/>
    <n v="16043"/>
    <x v="3"/>
  </r>
  <r>
    <x v="36"/>
    <s v="Hhld Transfers to Government"/>
    <n v="16020"/>
    <x v="3"/>
  </r>
  <r>
    <x v="0"/>
    <s v="Hhld Transfers to Private Sector"/>
    <n v="3890"/>
    <x v="4"/>
  </r>
  <r>
    <x v="1"/>
    <s v="Hhld Transfers to Private Sector"/>
    <n v="3955"/>
    <x v="4"/>
  </r>
  <r>
    <x v="2"/>
    <s v="Hhld Transfers to Private Sector"/>
    <n v="3928"/>
    <x v="4"/>
  </r>
  <r>
    <x v="3"/>
    <s v="Hhld Transfers to Private Sector"/>
    <n v="3981"/>
    <x v="4"/>
  </r>
  <r>
    <x v="4"/>
    <s v="Hhld Transfers to Private Sector"/>
    <n v="3992"/>
    <x v="4"/>
  </r>
  <r>
    <x v="5"/>
    <s v="Hhld Transfers to Private Sector"/>
    <n v="4053"/>
    <x v="4"/>
  </r>
  <r>
    <x v="6"/>
    <s v="Hhld Transfers to Private Sector"/>
    <n v="4092"/>
    <x v="4"/>
  </r>
  <r>
    <x v="7"/>
    <s v="Hhld Transfers to Private Sector"/>
    <n v="4220"/>
    <x v="4"/>
  </r>
  <r>
    <x v="8"/>
    <s v="Hhld Transfers to Private Sector"/>
    <n v="4178"/>
    <x v="4"/>
  </r>
  <r>
    <x v="9"/>
    <s v="Hhld Transfers to Private Sector"/>
    <n v="4139"/>
    <x v="4"/>
  </r>
  <r>
    <x v="10"/>
    <s v="Hhld Transfers to Private Sector"/>
    <n v="4256"/>
    <x v="4"/>
  </r>
  <r>
    <x v="11"/>
    <s v="Hhld Transfers to Private Sector"/>
    <n v="4274"/>
    <x v="4"/>
  </r>
  <r>
    <x v="12"/>
    <s v="Hhld Transfers to Private Sector"/>
    <n v="4477"/>
    <x v="4"/>
  </r>
  <r>
    <x v="13"/>
    <s v="Hhld Transfers to Private Sector"/>
    <n v="4609"/>
    <x v="4"/>
  </r>
  <r>
    <x v="14"/>
    <s v="Hhld Transfers to Private Sector"/>
    <n v="4745"/>
    <x v="4"/>
  </r>
  <r>
    <x v="15"/>
    <s v="Hhld Transfers to Private Sector"/>
    <n v="4839"/>
    <x v="4"/>
  </r>
  <r>
    <x v="16"/>
    <s v="Hhld Transfers to Private Sector"/>
    <n v="4816"/>
    <x v="4"/>
  </r>
  <r>
    <x v="17"/>
    <s v="Hhld Transfers to Private Sector"/>
    <n v="5014"/>
    <x v="4"/>
  </r>
  <r>
    <x v="18"/>
    <s v="Hhld Transfers to Private Sector"/>
    <n v="5101"/>
    <x v="4"/>
  </r>
  <r>
    <x v="19"/>
    <s v="Hhld Transfers to Private Sector"/>
    <n v="5123"/>
    <x v="4"/>
  </r>
  <r>
    <x v="20"/>
    <s v="Hhld Transfers to Private Sector"/>
    <n v="5223"/>
    <x v="4"/>
  </r>
  <r>
    <x v="21"/>
    <s v="Hhld Transfers to Private Sector"/>
    <n v="5280"/>
    <x v="4"/>
  </r>
  <r>
    <x v="22"/>
    <s v="Hhld Transfers to Private Sector"/>
    <n v="5384"/>
    <x v="4"/>
  </r>
  <r>
    <x v="23"/>
    <s v="Hhld Transfers to Private Sector"/>
    <n v="5267"/>
    <x v="4"/>
  </r>
  <r>
    <x v="24"/>
    <s v="Hhld Transfers to Private Sector"/>
    <n v="5218"/>
    <x v="4"/>
  </r>
  <r>
    <x v="25"/>
    <s v="Hhld Transfers to Private Sector"/>
    <n v="5176"/>
    <x v="4"/>
  </r>
  <r>
    <x v="26"/>
    <s v="Hhld Transfers to Private Sector"/>
    <n v="5153"/>
    <x v="4"/>
  </r>
  <r>
    <x v="27"/>
    <s v="Hhld Transfers to Private Sector"/>
    <n v="5159"/>
    <x v="4"/>
  </r>
  <r>
    <x v="28"/>
    <s v="Hhld Transfers to Private Sector"/>
    <n v="5448"/>
    <x v="4"/>
  </r>
  <r>
    <x v="29"/>
    <s v="Hhld Transfers to Private Sector"/>
    <n v="5498"/>
    <x v="4"/>
  </r>
  <r>
    <x v="30"/>
    <s v="Hhld Transfers to Private Sector"/>
    <n v="5729"/>
    <x v="4"/>
  </r>
  <r>
    <x v="31"/>
    <s v="Hhld Transfers to Private Sector"/>
    <n v="5790"/>
    <x v="4"/>
  </r>
  <r>
    <x v="32"/>
    <s v="Hhld Transfers to Private Sector"/>
    <n v="5874"/>
    <x v="4"/>
  </r>
  <r>
    <x v="33"/>
    <s v="Hhld Transfers to Private Sector"/>
    <n v="5902"/>
    <x v="4"/>
  </r>
  <r>
    <x v="34"/>
    <s v="Hhld Transfers to Private Sector"/>
    <n v="5817"/>
    <x v="4"/>
  </r>
  <r>
    <x v="35"/>
    <s v="Hhld Transfers to Private Sector"/>
    <n v="5940"/>
    <x v="4"/>
  </r>
  <r>
    <x v="36"/>
    <s v="Hhld Transfers to Private Sector"/>
    <n v="5990"/>
    <x v="4"/>
  </r>
  <r>
    <x v="0"/>
    <s v="Pension Funds Revaluation Gains"/>
    <n v="901"/>
    <x v="5"/>
  </r>
  <r>
    <x v="1"/>
    <s v="Pension Funds Revaluation Gains"/>
    <n v="927"/>
    <x v="5"/>
  </r>
  <r>
    <x v="2"/>
    <s v="Pension Funds Revaluation Gains"/>
    <n v="967"/>
    <x v="5"/>
  </r>
  <r>
    <x v="3"/>
    <s v="Pension Funds Revaluation Gains"/>
    <n v="927"/>
    <x v="5"/>
  </r>
  <r>
    <x v="4"/>
    <s v="Pension Funds Revaluation Gains"/>
    <n v="936"/>
    <x v="5"/>
  </r>
  <r>
    <x v="5"/>
    <s v="Pension Funds Revaluation Gains"/>
    <n v="911"/>
    <x v="5"/>
  </r>
  <r>
    <x v="6"/>
    <s v="Pension Funds Revaluation Gains"/>
    <n v="998"/>
    <x v="5"/>
  </r>
  <r>
    <x v="7"/>
    <s v="Pension Funds Revaluation Gains"/>
    <n v="960"/>
    <x v="5"/>
  </r>
  <r>
    <x v="8"/>
    <s v="Pension Funds Revaluation Gains"/>
    <n v="1078"/>
    <x v="5"/>
  </r>
  <r>
    <x v="9"/>
    <s v="Pension Funds Revaluation Gains"/>
    <n v="1094"/>
    <x v="5"/>
  </r>
  <r>
    <x v="10"/>
    <s v="Pension Funds Revaluation Gains"/>
    <n v="1230"/>
    <x v="5"/>
  </r>
  <r>
    <x v="11"/>
    <s v="Pension Funds Revaluation Gains"/>
    <n v="1149"/>
    <x v="5"/>
  </r>
  <r>
    <x v="12"/>
    <s v="Pension Funds Revaluation Gains"/>
    <n v="1268"/>
    <x v="5"/>
  </r>
  <r>
    <x v="13"/>
    <s v="Pension Funds Revaluation Gains"/>
    <n v="1287"/>
    <x v="5"/>
  </r>
  <r>
    <x v="14"/>
    <s v="Pension Funds Revaluation Gains"/>
    <n v="1435"/>
    <x v="5"/>
  </r>
  <r>
    <x v="15"/>
    <s v="Pension Funds Revaluation Gains"/>
    <n v="1448"/>
    <x v="5"/>
  </r>
  <r>
    <x v="16"/>
    <s v="Pension Funds Revaluation Gains"/>
    <n v="1492"/>
    <x v="5"/>
  </r>
  <r>
    <x v="17"/>
    <s v="Pension Funds Revaluation Gains"/>
    <n v="1606"/>
    <x v="5"/>
  </r>
  <r>
    <x v="18"/>
    <s v="Pension Funds Revaluation Gains"/>
    <n v="1733"/>
    <x v="5"/>
  </r>
  <r>
    <x v="19"/>
    <s v="Pension Funds Revaluation Gains"/>
    <n v="1673"/>
    <x v="5"/>
  </r>
  <r>
    <x v="20"/>
    <s v="Pension Funds Revaluation Gains"/>
    <n v="1755"/>
    <x v="5"/>
  </r>
  <r>
    <x v="21"/>
    <s v="Pension Funds Revaluation Gains"/>
    <n v="1641"/>
    <x v="5"/>
  </r>
  <r>
    <x v="22"/>
    <s v="Pension Funds Revaluation Gains"/>
    <n v="1680"/>
    <x v="5"/>
  </r>
  <r>
    <x v="23"/>
    <s v="Pension Funds Revaluation Gains"/>
    <n v="1437"/>
    <x v="5"/>
  </r>
  <r>
    <x v="24"/>
    <s v="Pension Funds Revaluation Gains"/>
    <n v="1377"/>
    <x v="5"/>
  </r>
  <r>
    <x v="25"/>
    <s v="Pension Funds Revaluation Gains"/>
    <n v="1250"/>
    <x v="5"/>
  </r>
  <r>
    <x v="26"/>
    <s v="Pension Funds Revaluation Gains"/>
    <n v="1200"/>
    <x v="5"/>
  </r>
  <r>
    <x v="27"/>
    <s v="Pension Funds Revaluation Gains"/>
    <n v="1094"/>
    <x v="5"/>
  </r>
  <r>
    <x v="28"/>
    <s v="Pension Funds Revaluation Gains"/>
    <n v="1193"/>
    <x v="5"/>
  </r>
  <r>
    <x v="29"/>
    <s v="Pension Funds Revaluation Gains"/>
    <n v="1179"/>
    <x v="5"/>
  </r>
  <r>
    <x v="30"/>
    <s v="Pension Funds Revaluation Gains"/>
    <n v="1217"/>
    <x v="5"/>
  </r>
  <r>
    <x v="31"/>
    <s v="Pension Funds Revaluation Gains"/>
    <n v="1135"/>
    <x v="5"/>
  </r>
  <r>
    <x v="32"/>
    <s v="Pension Funds Revaluation Gains"/>
    <n v="1181"/>
    <x v="5"/>
  </r>
  <r>
    <x v="33"/>
    <s v="Pension Funds Revaluation Gains"/>
    <n v="1085"/>
    <x v="5"/>
  </r>
  <r>
    <x v="34"/>
    <s v="Pension Funds Revaluation Gains"/>
    <n v="1046"/>
    <x v="5"/>
  </r>
  <r>
    <x v="35"/>
    <s v="Pension Funds Revaluation Gains"/>
    <n v="960"/>
    <x v="5"/>
  </r>
  <r>
    <x v="36"/>
    <s v="Pension Funds Revaluation Gains"/>
    <n v="965"/>
    <x v="5"/>
  </r>
  <r>
    <x v="0"/>
    <s v="Private Sector Transfers to Hhlds"/>
    <n v="1176"/>
    <x v="6"/>
  </r>
  <r>
    <x v="1"/>
    <s v="Private Sector Transfers to Hhlds"/>
    <n v="1309"/>
    <x v="6"/>
  </r>
  <r>
    <x v="2"/>
    <s v="Private Sector Transfers to Hhlds"/>
    <n v="1223"/>
    <x v="6"/>
  </r>
  <r>
    <x v="3"/>
    <s v="Private Sector Transfers to Hhlds"/>
    <n v="1172"/>
    <x v="6"/>
  </r>
  <r>
    <x v="4"/>
    <s v="Private Sector Transfers to Hhlds"/>
    <n v="1134"/>
    <x v="6"/>
  </r>
  <r>
    <x v="5"/>
    <s v="Private Sector Transfers to Hhlds"/>
    <n v="1232"/>
    <x v="6"/>
  </r>
  <r>
    <x v="6"/>
    <s v="Private Sector Transfers to Hhlds"/>
    <n v="1379"/>
    <x v="6"/>
  </r>
  <r>
    <x v="7"/>
    <s v="Private Sector Transfers to Hhlds"/>
    <n v="1258"/>
    <x v="6"/>
  </r>
  <r>
    <x v="8"/>
    <s v="Private Sector Transfers to Hhlds"/>
    <n v="1202"/>
    <x v="6"/>
  </r>
  <r>
    <x v="9"/>
    <s v="Private Sector Transfers to Hhlds"/>
    <n v="1305"/>
    <x v="6"/>
  </r>
  <r>
    <x v="10"/>
    <s v="Private Sector Transfers to Hhlds"/>
    <n v="1192"/>
    <x v="6"/>
  </r>
  <r>
    <x v="11"/>
    <s v="Private Sector Transfers to Hhlds"/>
    <n v="1174"/>
    <x v="6"/>
  </r>
  <r>
    <x v="12"/>
    <s v="Private Sector Transfers to Hhlds"/>
    <n v="1216"/>
    <x v="6"/>
  </r>
  <r>
    <x v="13"/>
    <s v="Private Sector Transfers to Hhlds"/>
    <n v="1227"/>
    <x v="6"/>
  </r>
  <r>
    <x v="14"/>
    <s v="Private Sector Transfers to Hhlds"/>
    <n v="1321"/>
    <x v="6"/>
  </r>
  <r>
    <x v="15"/>
    <s v="Private Sector Transfers to Hhlds"/>
    <n v="1271"/>
    <x v="6"/>
  </r>
  <r>
    <x v="16"/>
    <s v="Private Sector Transfers to Hhlds"/>
    <n v="1180"/>
    <x v="6"/>
  </r>
  <r>
    <x v="17"/>
    <s v="Private Sector Transfers to Hhlds"/>
    <n v="1539"/>
    <x v="6"/>
  </r>
  <r>
    <x v="18"/>
    <s v="Private Sector Transfers to Hhlds"/>
    <n v="1382"/>
    <x v="6"/>
  </r>
  <r>
    <x v="19"/>
    <s v="Private Sector Transfers to Hhlds"/>
    <n v="1493"/>
    <x v="6"/>
  </r>
  <r>
    <x v="20"/>
    <s v="Private Sector Transfers to Hhlds"/>
    <n v="1478"/>
    <x v="6"/>
  </r>
  <r>
    <x v="21"/>
    <s v="Private Sector Transfers to Hhlds"/>
    <n v="1341"/>
    <x v="6"/>
  </r>
  <r>
    <x v="22"/>
    <s v="Private Sector Transfers to Hhlds"/>
    <n v="1126"/>
    <x v="6"/>
  </r>
  <r>
    <x v="23"/>
    <s v="Private Sector Transfers to Hhlds"/>
    <n v="932"/>
    <x v="6"/>
  </r>
  <r>
    <x v="24"/>
    <s v="Private Sector Transfers to Hhlds"/>
    <n v="967"/>
    <x v="6"/>
  </r>
  <r>
    <x v="25"/>
    <s v="Private Sector Transfers to Hhlds"/>
    <n v="1108"/>
    <x v="6"/>
  </r>
  <r>
    <x v="26"/>
    <s v="Private Sector Transfers to Hhlds"/>
    <n v="1159"/>
    <x v="6"/>
  </r>
  <r>
    <x v="27"/>
    <s v="Private Sector Transfers to Hhlds"/>
    <n v="1203"/>
    <x v="6"/>
  </r>
  <r>
    <x v="28"/>
    <s v="Private Sector Transfers to Hhlds"/>
    <n v="1152"/>
    <x v="6"/>
  </r>
  <r>
    <x v="29"/>
    <s v="Private Sector Transfers to Hhlds"/>
    <n v="1192"/>
    <x v="6"/>
  </r>
  <r>
    <x v="30"/>
    <s v="Private Sector Transfers to Hhlds"/>
    <n v="1129"/>
    <x v="6"/>
  </r>
  <r>
    <x v="31"/>
    <s v="Private Sector Transfers to Hhlds"/>
    <n v="1113"/>
    <x v="6"/>
  </r>
  <r>
    <x v="32"/>
    <s v="Private Sector Transfers to Hhlds"/>
    <n v="1115"/>
    <x v="6"/>
  </r>
  <r>
    <x v="33"/>
    <s v="Private Sector Transfers to Hhlds"/>
    <n v="1143"/>
    <x v="6"/>
  </r>
  <r>
    <x v="34"/>
    <s v="Private Sector Transfers to Hhlds"/>
    <n v="1043"/>
    <x v="6"/>
  </r>
  <r>
    <x v="35"/>
    <s v="Private Sector Transfers to Hhlds"/>
    <n v="1140"/>
    <x v="6"/>
  </r>
  <r>
    <x v="36"/>
    <s v="Private Sector Transfers to Hhlds"/>
    <n v="1183"/>
    <x v="6"/>
  </r>
  <r>
    <x v="0"/>
    <s v="Profit from Production"/>
    <n v="10469"/>
    <x v="7"/>
  </r>
  <r>
    <x v="1"/>
    <s v="Profit from Production"/>
    <n v="10561"/>
    <x v="7"/>
  </r>
  <r>
    <x v="2"/>
    <s v="Profit from Production"/>
    <n v="11071"/>
    <x v="7"/>
  </r>
  <r>
    <x v="3"/>
    <s v="Profit from Production"/>
    <n v="11461"/>
    <x v="7"/>
  </r>
  <r>
    <x v="4"/>
    <s v="Profit from Production"/>
    <n v="11296"/>
    <x v="7"/>
  </r>
  <r>
    <x v="5"/>
    <s v="Profit from Production"/>
    <n v="11578"/>
    <x v="7"/>
  </r>
  <r>
    <x v="6"/>
    <s v="Profit from Production"/>
    <n v="11923"/>
    <x v="7"/>
  </r>
  <r>
    <x v="7"/>
    <s v="Profit from Production"/>
    <n v="12120"/>
    <x v="7"/>
  </r>
  <r>
    <x v="8"/>
    <s v="Profit from Production"/>
    <n v="12355"/>
    <x v="7"/>
  </r>
  <r>
    <x v="9"/>
    <s v="Profit from Production"/>
    <n v="12349"/>
    <x v="7"/>
  </r>
  <r>
    <x v="10"/>
    <s v="Profit from Production"/>
    <n v="12582"/>
    <x v="7"/>
  </r>
  <r>
    <x v="11"/>
    <s v="Profit from Production"/>
    <n v="12732"/>
    <x v="7"/>
  </r>
  <r>
    <x v="12"/>
    <s v="Profit from Production"/>
    <n v="13318"/>
    <x v="7"/>
  </r>
  <r>
    <x v="13"/>
    <s v="Profit from Production"/>
    <n v="13598"/>
    <x v="7"/>
  </r>
  <r>
    <x v="14"/>
    <s v="Profit from Production"/>
    <n v="13973"/>
    <x v="7"/>
  </r>
  <r>
    <x v="15"/>
    <s v="Profit from Production"/>
    <n v="13764"/>
    <x v="7"/>
  </r>
  <r>
    <x v="16"/>
    <s v="Profit from Production"/>
    <n v="14427"/>
    <x v="7"/>
  </r>
  <r>
    <x v="17"/>
    <s v="Profit from Production"/>
    <n v="14901"/>
    <x v="7"/>
  </r>
  <r>
    <x v="18"/>
    <s v="Profit from Production"/>
    <n v="15096"/>
    <x v="7"/>
  </r>
  <r>
    <x v="19"/>
    <s v="Profit from Production"/>
    <n v="15573"/>
    <x v="7"/>
  </r>
  <r>
    <x v="20"/>
    <s v="Profit from Production"/>
    <n v="15921"/>
    <x v="7"/>
  </r>
  <r>
    <x v="21"/>
    <s v="Profit from Production"/>
    <n v="16464"/>
    <x v="7"/>
  </r>
  <r>
    <x v="22"/>
    <s v="Profit from Production"/>
    <n v="16984"/>
    <x v="7"/>
  </r>
  <r>
    <x v="23"/>
    <s v="Profit from Production"/>
    <n v="17100"/>
    <x v="7"/>
  </r>
  <r>
    <x v="24"/>
    <s v="Profit from Production"/>
    <n v="16605"/>
    <x v="7"/>
  </r>
  <r>
    <x v="25"/>
    <s v="Profit from Production"/>
    <n v="16023"/>
    <x v="7"/>
  </r>
  <r>
    <x v="26"/>
    <s v="Profit from Production"/>
    <n v="15889"/>
    <x v="7"/>
  </r>
  <r>
    <x v="27"/>
    <s v="Profit from Production"/>
    <n v="16106"/>
    <x v="7"/>
  </r>
  <r>
    <x v="28"/>
    <s v="Profit from Production"/>
    <n v="16883"/>
    <x v="7"/>
  </r>
  <r>
    <x v="29"/>
    <s v="Profit from Production"/>
    <n v="17045"/>
    <x v="7"/>
  </r>
  <r>
    <x v="30"/>
    <s v="Profit from Production"/>
    <n v="17055"/>
    <x v="7"/>
  </r>
  <r>
    <x v="31"/>
    <s v="Profit from Production"/>
    <n v="17363"/>
    <x v="7"/>
  </r>
  <r>
    <x v="32"/>
    <s v="Profit from Production"/>
    <n v="17095"/>
    <x v="7"/>
  </r>
  <r>
    <x v="33"/>
    <s v="Profit from Production"/>
    <n v="17301"/>
    <x v="7"/>
  </r>
  <r>
    <x v="34"/>
    <s v="Profit from Production"/>
    <n v="17760"/>
    <x v="7"/>
  </r>
  <r>
    <x v="35"/>
    <s v="Profit from Production"/>
    <n v="17837"/>
    <x v="7"/>
  </r>
  <r>
    <x v="36"/>
    <s v="Profit from Production"/>
    <n v="18396"/>
    <x v="7"/>
  </r>
  <r>
    <x v="0"/>
    <s v="Property Income Payable"/>
    <n v="1718"/>
    <x v="8"/>
  </r>
  <r>
    <x v="1"/>
    <s v="Property Income Payable"/>
    <n v="1749"/>
    <x v="8"/>
  </r>
  <r>
    <x v="2"/>
    <s v="Property Income Payable"/>
    <n v="1742"/>
    <x v="8"/>
  </r>
  <r>
    <x v="3"/>
    <s v="Property Income Payable"/>
    <n v="1701"/>
    <x v="8"/>
  </r>
  <r>
    <x v="4"/>
    <s v="Property Income Payable"/>
    <n v="1719"/>
    <x v="8"/>
  </r>
  <r>
    <x v="5"/>
    <s v="Property Income Payable"/>
    <n v="1697"/>
    <x v="8"/>
  </r>
  <r>
    <x v="6"/>
    <s v="Property Income Payable"/>
    <n v="1698"/>
    <x v="8"/>
  </r>
  <r>
    <x v="7"/>
    <s v="Property Income Payable"/>
    <n v="1705"/>
    <x v="8"/>
  </r>
  <r>
    <x v="8"/>
    <s v="Property Income Payable"/>
    <n v="1730"/>
    <x v="8"/>
  </r>
  <r>
    <x v="9"/>
    <s v="Property Income Payable"/>
    <n v="1765"/>
    <x v="8"/>
  </r>
  <r>
    <x v="10"/>
    <s v="Property Income Payable"/>
    <n v="1787"/>
    <x v="8"/>
  </r>
  <r>
    <x v="11"/>
    <s v="Property Income Payable"/>
    <n v="1772"/>
    <x v="8"/>
  </r>
  <r>
    <x v="12"/>
    <s v="Property Income Payable"/>
    <n v="1744"/>
    <x v="8"/>
  </r>
  <r>
    <x v="13"/>
    <s v="Property Income Payable"/>
    <n v="1667"/>
    <x v="8"/>
  </r>
  <r>
    <x v="14"/>
    <s v="Property Income Payable"/>
    <n v="1596"/>
    <x v="8"/>
  </r>
  <r>
    <x v="15"/>
    <s v="Property Income Payable"/>
    <n v="1566"/>
    <x v="8"/>
  </r>
  <r>
    <x v="16"/>
    <s v="Property Income Payable"/>
    <n v="1464"/>
    <x v="8"/>
  </r>
  <r>
    <x v="17"/>
    <s v="Property Income Payable"/>
    <n v="1368"/>
    <x v="8"/>
  </r>
  <r>
    <x v="18"/>
    <s v="Property Income Payable"/>
    <n v="1293"/>
    <x v="8"/>
  </r>
  <r>
    <x v="19"/>
    <s v="Property Income Payable"/>
    <n v="1222"/>
    <x v="8"/>
  </r>
  <r>
    <x v="20"/>
    <s v="Property Income Payable"/>
    <n v="1181"/>
    <x v="8"/>
  </r>
  <r>
    <x v="21"/>
    <s v="Property Income Payable"/>
    <n v="1134"/>
    <x v="8"/>
  </r>
  <r>
    <x v="22"/>
    <s v="Property Income Payable"/>
    <n v="1169"/>
    <x v="8"/>
  </r>
  <r>
    <x v="23"/>
    <s v="Property Income Payable"/>
    <n v="1241"/>
    <x v="8"/>
  </r>
  <r>
    <x v="24"/>
    <s v="Property Income Payable"/>
    <n v="1401"/>
    <x v="8"/>
  </r>
  <r>
    <x v="25"/>
    <s v="Property Income Payable"/>
    <n v="1701"/>
    <x v="8"/>
  </r>
  <r>
    <x v="26"/>
    <s v="Property Income Payable"/>
    <n v="2036"/>
    <x v="8"/>
  </r>
  <r>
    <x v="27"/>
    <s v="Property Income Payable"/>
    <n v="2337"/>
    <x v="8"/>
  </r>
  <r>
    <x v="28"/>
    <s v="Property Income Payable"/>
    <n v="2602"/>
    <x v="8"/>
  </r>
  <r>
    <x v="29"/>
    <s v="Property Income Payable"/>
    <n v="2822"/>
    <x v="8"/>
  </r>
  <r>
    <x v="30"/>
    <s v="Property Income Payable"/>
    <n v="2969"/>
    <x v="8"/>
  </r>
  <r>
    <x v="31"/>
    <s v="Property Income Payable"/>
    <n v="3058"/>
    <x v="8"/>
  </r>
  <r>
    <x v="32"/>
    <s v="Property Income Payable"/>
    <n v="3131"/>
    <x v="8"/>
  </r>
  <r>
    <x v="33"/>
    <s v="Property Income Payable"/>
    <n v="3156"/>
    <x v="8"/>
  </r>
  <r>
    <x v="34"/>
    <s v="Property Income Payable"/>
    <n v="3013"/>
    <x v="8"/>
  </r>
  <r>
    <x v="35"/>
    <s v="Property Income Payable"/>
    <n v="2815"/>
    <x v="8"/>
  </r>
  <r>
    <x v="36"/>
    <s v="Property Income Payable"/>
    <n v="2594"/>
    <x v="8"/>
  </r>
  <r>
    <x v="0"/>
    <s v="Property Income Receivable"/>
    <n v="4132"/>
    <x v="9"/>
  </r>
  <r>
    <x v="1"/>
    <s v="Property Income Receivable"/>
    <n v="3805"/>
    <x v="9"/>
  </r>
  <r>
    <x v="2"/>
    <s v="Property Income Receivable"/>
    <n v="3862"/>
    <x v="9"/>
  </r>
  <r>
    <x v="3"/>
    <s v="Property Income Receivable"/>
    <n v="3938"/>
    <x v="9"/>
  </r>
  <r>
    <x v="4"/>
    <s v="Property Income Receivable"/>
    <n v="4090"/>
    <x v="9"/>
  </r>
  <r>
    <x v="5"/>
    <s v="Property Income Receivable"/>
    <n v="4141"/>
    <x v="9"/>
  </r>
  <r>
    <x v="6"/>
    <s v="Property Income Receivable"/>
    <n v="4109"/>
    <x v="9"/>
  </r>
  <r>
    <x v="7"/>
    <s v="Property Income Receivable"/>
    <n v="4161"/>
    <x v="9"/>
  </r>
  <r>
    <x v="8"/>
    <s v="Property Income Receivable"/>
    <n v="4273"/>
    <x v="9"/>
  </r>
  <r>
    <x v="9"/>
    <s v="Property Income Receivable"/>
    <n v="4325"/>
    <x v="9"/>
  </r>
  <r>
    <x v="10"/>
    <s v="Property Income Receivable"/>
    <n v="4414"/>
    <x v="9"/>
  </r>
  <r>
    <x v="11"/>
    <s v="Property Income Receivable"/>
    <n v="4426"/>
    <x v="9"/>
  </r>
  <r>
    <x v="12"/>
    <s v="Property Income Receivable"/>
    <n v="4577"/>
    <x v="9"/>
  </r>
  <r>
    <x v="13"/>
    <s v="Property Income Receivable"/>
    <n v="4522"/>
    <x v="9"/>
  </r>
  <r>
    <x v="14"/>
    <s v="Property Income Receivable"/>
    <n v="4327"/>
    <x v="9"/>
  </r>
  <r>
    <x v="15"/>
    <s v="Property Income Receivable"/>
    <n v="3782"/>
    <x v="9"/>
  </r>
  <r>
    <x v="16"/>
    <s v="Property Income Receivable"/>
    <n v="4268"/>
    <x v="9"/>
  </r>
  <r>
    <x v="17"/>
    <s v="Property Income Receivable"/>
    <n v="4660"/>
    <x v="9"/>
  </r>
  <r>
    <x v="18"/>
    <s v="Property Income Receivable"/>
    <n v="5104"/>
    <x v="9"/>
  </r>
  <r>
    <x v="19"/>
    <s v="Property Income Receivable"/>
    <n v="4564"/>
    <x v="9"/>
  </r>
  <r>
    <x v="20"/>
    <s v="Property Income Receivable"/>
    <n v="3809"/>
    <x v="9"/>
  </r>
  <r>
    <x v="21"/>
    <s v="Property Income Receivable"/>
    <n v="3542"/>
    <x v="9"/>
  </r>
  <r>
    <x v="22"/>
    <s v="Property Income Receivable"/>
    <n v="3451"/>
    <x v="9"/>
  </r>
  <r>
    <x v="23"/>
    <s v="Property Income Receivable"/>
    <n v="3777"/>
    <x v="9"/>
  </r>
  <r>
    <x v="24"/>
    <s v="Property Income Receivable"/>
    <n v="4202"/>
    <x v="9"/>
  </r>
  <r>
    <x v="25"/>
    <s v="Property Income Receivable"/>
    <n v="4448"/>
    <x v="9"/>
  </r>
  <r>
    <x v="26"/>
    <s v="Property Income Receivable"/>
    <n v="5036"/>
    <x v="9"/>
  </r>
  <r>
    <x v="27"/>
    <s v="Property Income Receivable"/>
    <n v="5298"/>
    <x v="9"/>
  </r>
  <r>
    <x v="28"/>
    <s v="Property Income Receivable"/>
    <n v="6225"/>
    <x v="9"/>
  </r>
  <r>
    <x v="29"/>
    <s v="Property Income Receivable"/>
    <n v="6694"/>
    <x v="9"/>
  </r>
  <r>
    <x v="30"/>
    <s v="Property Income Receivable"/>
    <n v="6741"/>
    <x v="9"/>
  </r>
  <r>
    <x v="31"/>
    <s v="Property Income Receivable"/>
    <n v="6855"/>
    <x v="9"/>
  </r>
  <r>
    <x v="32"/>
    <s v="Property Income Receivable"/>
    <n v="6733"/>
    <x v="9"/>
  </r>
  <r>
    <x v="33"/>
    <s v="Property Income Receivable"/>
    <n v="6669"/>
    <x v="9"/>
  </r>
  <r>
    <x v="34"/>
    <s v="Property Income Receivable"/>
    <n v="6519"/>
    <x v="9"/>
  </r>
  <r>
    <x v="35"/>
    <s v="Property Income Receivable"/>
    <n v="6458"/>
    <x v="9"/>
  </r>
  <r>
    <x v="36"/>
    <s v="Property Income Receivable"/>
    <n v="6631"/>
    <x v="9"/>
  </r>
  <r>
    <x v="0"/>
    <s v="Total income payable"/>
    <n v="14253"/>
    <x v="10"/>
  </r>
  <r>
    <x v="1"/>
    <s v="Total income payable"/>
    <n v="14455"/>
    <x v="10"/>
  </r>
  <r>
    <x v="2"/>
    <s v="Total income payable"/>
    <n v="14503"/>
    <x v="10"/>
  </r>
  <r>
    <x v="3"/>
    <s v="Total income payable"/>
    <n v="14426"/>
    <x v="10"/>
  </r>
  <r>
    <x v="4"/>
    <s v="Total income payable"/>
    <n v="14991"/>
    <x v="10"/>
  </r>
  <r>
    <x v="5"/>
    <s v="Total income payable"/>
    <n v="15041"/>
    <x v="10"/>
  </r>
  <r>
    <x v="6"/>
    <s v="Total income payable"/>
    <n v="15060"/>
    <x v="10"/>
  </r>
  <r>
    <x v="7"/>
    <s v="Total income payable"/>
    <n v="15528"/>
    <x v="10"/>
  </r>
  <r>
    <x v="8"/>
    <s v="Total income payable"/>
    <n v="15234"/>
    <x v="10"/>
  </r>
  <r>
    <x v="9"/>
    <s v="Total income payable"/>
    <n v="15800"/>
    <x v="10"/>
  </r>
  <r>
    <x v="10"/>
    <s v="Total income payable"/>
    <n v="16028"/>
    <x v="10"/>
  </r>
  <r>
    <x v="11"/>
    <s v="Total income payable"/>
    <n v="16379"/>
    <x v="10"/>
  </r>
  <r>
    <x v="12"/>
    <s v="Total income payable"/>
    <n v="16613"/>
    <x v="10"/>
  </r>
  <r>
    <x v="13"/>
    <s v="Total income payable"/>
    <n v="16617"/>
    <x v="10"/>
  </r>
  <r>
    <x v="14"/>
    <s v="Total income payable"/>
    <n v="17190"/>
    <x v="10"/>
  </r>
  <r>
    <x v="15"/>
    <s v="Total income payable"/>
    <n v="17201"/>
    <x v="10"/>
  </r>
  <r>
    <x v="16"/>
    <s v="Total income payable"/>
    <n v="16525"/>
    <x v="10"/>
  </r>
  <r>
    <x v="17"/>
    <s v="Total income payable"/>
    <n v="17778"/>
    <x v="10"/>
  </r>
  <r>
    <x v="18"/>
    <s v="Total income payable"/>
    <n v="17874"/>
    <x v="10"/>
  </r>
  <r>
    <x v="19"/>
    <s v="Total income payable"/>
    <n v="18330"/>
    <x v="10"/>
  </r>
  <r>
    <x v="20"/>
    <s v="Total income payable"/>
    <n v="19017"/>
    <x v="10"/>
  </r>
  <r>
    <x v="21"/>
    <s v="Total income payable"/>
    <n v="18926"/>
    <x v="10"/>
  </r>
  <r>
    <x v="22"/>
    <s v="Total income payable"/>
    <n v="19910"/>
    <x v="10"/>
  </r>
  <r>
    <x v="23"/>
    <s v="Total income payable"/>
    <n v="20019"/>
    <x v="10"/>
  </r>
  <r>
    <x v="24"/>
    <s v="Total income payable"/>
    <n v="20848"/>
    <x v="10"/>
  </r>
  <r>
    <x v="25"/>
    <s v="Total income payable"/>
    <n v="21035"/>
    <x v="10"/>
  </r>
  <r>
    <x v="26"/>
    <s v="Total income payable"/>
    <n v="21448"/>
    <x v="10"/>
  </r>
  <r>
    <x v="27"/>
    <s v="Total income payable"/>
    <n v="22260"/>
    <x v="10"/>
  </r>
  <r>
    <x v="28"/>
    <s v="Total income payable"/>
    <n v="22600"/>
    <x v="10"/>
  </r>
  <r>
    <x v="29"/>
    <s v="Total income payable"/>
    <n v="24071"/>
    <x v="10"/>
  </r>
  <r>
    <x v="30"/>
    <s v="Total income payable"/>
    <n v="24842"/>
    <x v="10"/>
  </r>
  <r>
    <x v="31"/>
    <s v="Total income payable"/>
    <n v="24973"/>
    <x v="10"/>
  </r>
  <r>
    <x v="32"/>
    <s v="Total income payable"/>
    <n v="25472"/>
    <x v="10"/>
  </r>
  <r>
    <x v="33"/>
    <s v="Total income payable"/>
    <n v="25382"/>
    <x v="10"/>
  </r>
  <r>
    <x v="34"/>
    <s v="Total income payable"/>
    <n v="24909"/>
    <x v="10"/>
  </r>
  <r>
    <x v="35"/>
    <s v="Total income payable"/>
    <n v="24798"/>
    <x v="10"/>
  </r>
  <r>
    <x v="36"/>
    <s v="Total income payable"/>
    <n v="24604"/>
    <x v="10"/>
  </r>
  <r>
    <x v="0"/>
    <s v="Total income receivable"/>
    <n v="51846"/>
    <x v="11"/>
  </r>
  <r>
    <x v="1"/>
    <s v="Total income receivable"/>
    <n v="52028"/>
    <x v="11"/>
  </r>
  <r>
    <x v="2"/>
    <s v="Total income receivable"/>
    <n v="52615"/>
    <x v="11"/>
  </r>
  <r>
    <x v="3"/>
    <s v="Total income receivable"/>
    <n v="54058"/>
    <x v="11"/>
  </r>
  <r>
    <x v="4"/>
    <s v="Total income receivable"/>
    <n v="54246"/>
    <x v="11"/>
  </r>
  <r>
    <x v="5"/>
    <s v="Total income receivable"/>
    <n v="55133"/>
    <x v="11"/>
  </r>
  <r>
    <x v="6"/>
    <s v="Total income receivable"/>
    <n v="56427"/>
    <x v="11"/>
  </r>
  <r>
    <x v="7"/>
    <s v="Total income receivable"/>
    <n v="57076"/>
    <x v="11"/>
  </r>
  <r>
    <x v="8"/>
    <s v="Total income receivable"/>
    <n v="57709"/>
    <x v="11"/>
  </r>
  <r>
    <x v="9"/>
    <s v="Total income receivable"/>
    <n v="58762"/>
    <x v="11"/>
  </r>
  <r>
    <x v="10"/>
    <s v="Total income receivable"/>
    <n v="59946"/>
    <x v="11"/>
  </r>
  <r>
    <x v="11"/>
    <s v="Total income receivable"/>
    <n v="60123"/>
    <x v="11"/>
  </r>
  <r>
    <x v="12"/>
    <s v="Total income receivable"/>
    <n v="62041"/>
    <x v="11"/>
  </r>
  <r>
    <x v="13"/>
    <s v="Total income receivable"/>
    <n v="63004"/>
    <x v="11"/>
  </r>
  <r>
    <x v="14"/>
    <s v="Total income receivable"/>
    <n v="63882"/>
    <x v="11"/>
  </r>
  <r>
    <x v="15"/>
    <s v="Total income receivable"/>
    <n v="63905"/>
    <x v="11"/>
  </r>
  <r>
    <x v="16"/>
    <s v="Total income receivable"/>
    <n v="64423"/>
    <x v="11"/>
  </r>
  <r>
    <x v="17"/>
    <s v="Total income receivable"/>
    <n v="67264"/>
    <x v="11"/>
  </r>
  <r>
    <x v="18"/>
    <s v="Total income receivable"/>
    <n v="68374"/>
    <x v="11"/>
  </r>
  <r>
    <x v="19"/>
    <s v="Total income receivable"/>
    <n v="69518"/>
    <x v="11"/>
  </r>
  <r>
    <x v="20"/>
    <s v="Total income receivable"/>
    <n v="70274"/>
    <x v="11"/>
  </r>
  <r>
    <x v="21"/>
    <s v="Total income receivable"/>
    <n v="70904"/>
    <x v="11"/>
  </r>
  <r>
    <x v="22"/>
    <s v="Total income receivable"/>
    <n v="72894"/>
    <x v="11"/>
  </r>
  <r>
    <x v="23"/>
    <s v="Total income receivable"/>
    <n v="73577"/>
    <x v="11"/>
  </r>
  <r>
    <x v="24"/>
    <s v="Total income receivable"/>
    <n v="74818"/>
    <x v="11"/>
  </r>
  <r>
    <x v="25"/>
    <s v="Total income receivable"/>
    <n v="76287"/>
    <x v="11"/>
  </r>
  <r>
    <x v="26"/>
    <s v="Total income receivable"/>
    <n v="77417"/>
    <x v="11"/>
  </r>
  <r>
    <x v="27"/>
    <s v="Total income receivable"/>
    <n v="78848"/>
    <x v="11"/>
  </r>
  <r>
    <x v="28"/>
    <s v="Total income receivable"/>
    <n v="81779"/>
    <x v="11"/>
  </r>
  <r>
    <x v="29"/>
    <s v="Total income receivable"/>
    <n v="83621"/>
    <x v="11"/>
  </r>
  <r>
    <x v="30"/>
    <s v="Total income receivable"/>
    <n v="84744"/>
    <x v="11"/>
  </r>
  <r>
    <x v="31"/>
    <s v="Total income receivable"/>
    <n v="86004"/>
    <x v="11"/>
  </r>
  <r>
    <x v="32"/>
    <s v="Total income receivable"/>
    <n v="86202"/>
    <x v="11"/>
  </r>
  <r>
    <x v="33"/>
    <s v="Total income receivable"/>
    <n v="86483"/>
    <x v="11"/>
  </r>
  <r>
    <x v="34"/>
    <s v="Total income receivable"/>
    <n v="86857"/>
    <x v="11"/>
  </r>
  <r>
    <x v="35"/>
    <s v="Total income receivable"/>
    <n v="87976"/>
    <x v="11"/>
  </r>
  <r>
    <x v="36"/>
    <s v="Total income receivable"/>
    <n v="88974"/>
    <x v="11"/>
  </r>
  <r>
    <x v="0"/>
    <s v="confidentialised_Component"/>
    <n v="1227"/>
    <x v="12"/>
  </r>
  <r>
    <x v="1"/>
    <s v="confidentialised_Component"/>
    <n v="1266"/>
    <x v="12"/>
  </r>
  <r>
    <x v="2"/>
    <s v="confidentialised_Component"/>
    <n v="1239"/>
    <x v="12"/>
  </r>
  <r>
    <x v="3"/>
    <s v="confidentialised_Component"/>
    <n v="1226"/>
    <x v="12"/>
  </r>
  <r>
    <x v="4"/>
    <s v="confidentialised_Component"/>
    <n v="1226"/>
    <x v="12"/>
  </r>
  <r>
    <x v="5"/>
    <s v="confidentialised_Component"/>
    <n v="1262"/>
    <x v="12"/>
  </r>
  <r>
    <x v="6"/>
    <s v="confidentialised_Component"/>
    <n v="1261"/>
    <x v="12"/>
  </r>
  <r>
    <x v="7"/>
    <s v="confidentialised_Component"/>
    <n v="1378"/>
    <x v="12"/>
  </r>
  <r>
    <x v="8"/>
    <s v="confidentialised_Component"/>
    <n v="1323"/>
    <x v="12"/>
  </r>
  <r>
    <x v="9"/>
    <s v="confidentialised_Component"/>
    <n v="1255"/>
    <x v="12"/>
  </r>
  <r>
    <x v="10"/>
    <s v="confidentialised_Component"/>
    <n v="1272"/>
    <x v="12"/>
  </r>
  <r>
    <x v="11"/>
    <s v="confidentialised_Component"/>
    <n v="1239"/>
    <x v="12"/>
  </r>
  <r>
    <x v="12"/>
    <s v="confidentialised_Component"/>
    <n v="1291"/>
    <x v="12"/>
  </r>
  <r>
    <x v="13"/>
    <s v="confidentialised_Component"/>
    <n v="1304"/>
    <x v="12"/>
  </r>
  <r>
    <x v="14"/>
    <s v="confidentialised_Component"/>
    <n v="1321"/>
    <x v="12"/>
  </r>
  <r>
    <x v="15"/>
    <s v="confidentialised_Component"/>
    <n v="1299"/>
    <x v="12"/>
  </r>
  <r>
    <x v="16"/>
    <s v="confidentialised_Component"/>
    <n v="1319"/>
    <x v="12"/>
  </r>
  <r>
    <x v="17"/>
    <s v="confidentialised_Component"/>
    <n v="1354"/>
    <x v="12"/>
  </r>
  <r>
    <x v="18"/>
    <s v="confidentialised_Component"/>
    <n v="1344"/>
    <x v="12"/>
  </r>
  <r>
    <x v="19"/>
    <s v="confidentialised_Component"/>
    <n v="1265"/>
    <x v="12"/>
  </r>
  <r>
    <x v="20"/>
    <s v="confidentialised_Component"/>
    <n v="1276"/>
    <x v="12"/>
  </r>
  <r>
    <x v="21"/>
    <s v="confidentialised_Component"/>
    <n v="1325"/>
    <x v="12"/>
  </r>
  <r>
    <x v="22"/>
    <s v="confidentialised_Component"/>
    <n v="1373"/>
    <x v="12"/>
  </r>
  <r>
    <x v="23"/>
    <s v="confidentialised_Component"/>
    <n v="1334"/>
    <x v="12"/>
  </r>
  <r>
    <x v="24"/>
    <s v="confidentialised_Component"/>
    <n v="1360"/>
    <x v="12"/>
  </r>
  <r>
    <x v="25"/>
    <s v="confidentialised_Component"/>
    <n v="1352"/>
    <x v="12"/>
  </r>
  <r>
    <x v="26"/>
    <s v="confidentialised_Component"/>
    <n v="1375"/>
    <x v="12"/>
  </r>
  <r>
    <x v="27"/>
    <s v="confidentialised_Component"/>
    <n v="1365"/>
    <x v="12"/>
  </r>
  <r>
    <x v="28"/>
    <s v="confidentialised_Component"/>
    <n v="1599"/>
    <x v="12"/>
  </r>
  <r>
    <x v="29"/>
    <s v="confidentialised_Component"/>
    <n v="1585"/>
    <x v="12"/>
  </r>
  <r>
    <x v="30"/>
    <s v="confidentialised_Component"/>
    <n v="1767"/>
    <x v="12"/>
  </r>
  <r>
    <x v="31"/>
    <s v="confidentialised_Component"/>
    <n v="1767"/>
    <x v="12"/>
  </r>
  <r>
    <x v="32"/>
    <s v="confidentialised_Component"/>
    <n v="1817"/>
    <x v="12"/>
  </r>
  <r>
    <x v="33"/>
    <s v="confidentialised_Component"/>
    <n v="1826"/>
    <x v="12"/>
  </r>
  <r>
    <x v="34"/>
    <s v="confidentialised_Component"/>
    <n v="1736"/>
    <x v="12"/>
  </r>
  <r>
    <x v="35"/>
    <s v="confidentialised_Component"/>
    <n v="1778"/>
    <x v="12"/>
  </r>
  <r>
    <x v="36"/>
    <s v="confidentialised_Component"/>
    <n v="1815"/>
    <x v="12"/>
  </r>
  <r>
    <x v="37"/>
    <s v="Household Consumption Expenditure"/>
    <n v="502"/>
    <x v="13"/>
  </r>
  <r>
    <x v="37"/>
    <s v="Household Consumption Expenditure"/>
    <n v="528"/>
    <x v="14"/>
  </r>
  <r>
    <x v="37"/>
    <s v="Household Consumption Expenditure"/>
    <n v="169"/>
    <x v="15"/>
  </r>
  <r>
    <x v="37"/>
    <s v="Household Consumption Expenditure"/>
    <n v="1222"/>
    <x v="16"/>
  </r>
  <r>
    <x v="37"/>
    <s v="Household Consumption Expenditure"/>
    <n v="693"/>
    <x v="17"/>
  </r>
  <r>
    <x v="37"/>
    <s v="Household Consumption Expenditure"/>
    <n v="1888"/>
    <x v="18"/>
  </r>
  <r>
    <x v="37"/>
    <s v="Household Consumption Expenditure"/>
    <n v="738"/>
    <x v="19"/>
  </r>
  <r>
    <x v="37"/>
    <s v="Household Consumption Expenditure"/>
    <n v="845"/>
    <x v="20"/>
  </r>
  <r>
    <x v="37"/>
    <s v="Household Consumption Expenditure"/>
    <n v="608"/>
    <x v="21"/>
  </r>
  <r>
    <x v="37"/>
    <s v="Household Consumption Expenditure"/>
    <n v="1506"/>
    <x v="22"/>
  </r>
  <r>
    <x v="38"/>
    <s v="Household Consumption Expenditure"/>
    <n v="508"/>
    <x v="13"/>
  </r>
  <r>
    <x v="38"/>
    <s v="Household Consumption Expenditure"/>
    <n v="522"/>
    <x v="14"/>
  </r>
  <r>
    <x v="38"/>
    <s v="Household Consumption Expenditure"/>
    <n v="176"/>
    <x v="15"/>
  </r>
  <r>
    <x v="38"/>
    <s v="Household Consumption Expenditure"/>
    <n v="1250"/>
    <x v="16"/>
  </r>
  <r>
    <x v="38"/>
    <s v="Household Consumption Expenditure"/>
    <n v="685"/>
    <x v="17"/>
  </r>
  <r>
    <x v="38"/>
    <s v="Household Consumption Expenditure"/>
    <n v="1951"/>
    <x v="18"/>
  </r>
  <r>
    <x v="38"/>
    <s v="Household Consumption Expenditure"/>
    <n v="776"/>
    <x v="19"/>
  </r>
  <r>
    <x v="38"/>
    <s v="Household Consumption Expenditure"/>
    <n v="847"/>
    <x v="20"/>
  </r>
  <r>
    <x v="38"/>
    <s v="Household Consumption Expenditure"/>
    <n v="604"/>
    <x v="21"/>
  </r>
  <r>
    <x v="38"/>
    <s v="Household Consumption Expenditure"/>
    <n v="1558"/>
    <x v="22"/>
  </r>
  <r>
    <x v="39"/>
    <s v="Household Consumption Expenditure"/>
    <n v="521"/>
    <x v="13"/>
  </r>
  <r>
    <x v="39"/>
    <s v="Household Consumption Expenditure"/>
    <n v="537"/>
    <x v="14"/>
  </r>
  <r>
    <x v="39"/>
    <s v="Household Consumption Expenditure"/>
    <n v="186"/>
    <x v="15"/>
  </r>
  <r>
    <x v="39"/>
    <s v="Household Consumption Expenditure"/>
    <n v="1279"/>
    <x v="16"/>
  </r>
  <r>
    <x v="39"/>
    <s v="Household Consumption Expenditure"/>
    <n v="687"/>
    <x v="17"/>
  </r>
  <r>
    <x v="39"/>
    <s v="Household Consumption Expenditure"/>
    <n v="2040"/>
    <x v="18"/>
  </r>
  <r>
    <x v="39"/>
    <s v="Household Consumption Expenditure"/>
    <n v="821"/>
    <x v="19"/>
  </r>
  <r>
    <x v="39"/>
    <s v="Household Consumption Expenditure"/>
    <n v="877"/>
    <x v="20"/>
  </r>
  <r>
    <x v="39"/>
    <s v="Household Consumption Expenditure"/>
    <n v="628"/>
    <x v="21"/>
  </r>
  <r>
    <x v="39"/>
    <s v="Household Consumption Expenditure"/>
    <n v="1518"/>
    <x v="22"/>
  </r>
  <r>
    <x v="40"/>
    <s v="Household Consumption Expenditure"/>
    <n v="523"/>
    <x v="13"/>
  </r>
  <r>
    <x v="40"/>
    <s v="Household Consumption Expenditure"/>
    <n v="524"/>
    <x v="14"/>
  </r>
  <r>
    <x v="40"/>
    <s v="Household Consumption Expenditure"/>
    <n v="193"/>
    <x v="15"/>
  </r>
  <r>
    <x v="40"/>
    <s v="Household Consumption Expenditure"/>
    <n v="1291"/>
    <x v="16"/>
  </r>
  <r>
    <x v="40"/>
    <s v="Household Consumption Expenditure"/>
    <n v="678"/>
    <x v="17"/>
  </r>
  <r>
    <x v="40"/>
    <s v="Household Consumption Expenditure"/>
    <n v="2148"/>
    <x v="18"/>
  </r>
  <r>
    <x v="40"/>
    <s v="Household Consumption Expenditure"/>
    <n v="850"/>
    <x v="19"/>
  </r>
  <r>
    <x v="40"/>
    <s v="Household Consumption Expenditure"/>
    <n v="889"/>
    <x v="20"/>
  </r>
  <r>
    <x v="40"/>
    <s v="Household Consumption Expenditure"/>
    <n v="616"/>
    <x v="21"/>
  </r>
  <r>
    <x v="40"/>
    <s v="Household Consumption Expenditure"/>
    <n v="1482"/>
    <x v="22"/>
  </r>
  <r>
    <x v="41"/>
    <s v="Household Consumption Expenditure"/>
    <n v="528"/>
    <x v="13"/>
  </r>
  <r>
    <x v="41"/>
    <s v="Household Consumption Expenditure"/>
    <n v="512"/>
    <x v="14"/>
  </r>
  <r>
    <x v="41"/>
    <s v="Household Consumption Expenditure"/>
    <n v="199"/>
    <x v="15"/>
  </r>
  <r>
    <x v="41"/>
    <s v="Household Consumption Expenditure"/>
    <n v="1292"/>
    <x v="16"/>
  </r>
  <r>
    <x v="41"/>
    <s v="Household Consumption Expenditure"/>
    <n v="667"/>
    <x v="17"/>
  </r>
  <r>
    <x v="41"/>
    <s v="Household Consumption Expenditure"/>
    <n v="2259"/>
    <x v="18"/>
  </r>
  <r>
    <x v="41"/>
    <s v="Household Consumption Expenditure"/>
    <n v="852"/>
    <x v="19"/>
  </r>
  <r>
    <x v="41"/>
    <s v="Household Consumption Expenditure"/>
    <n v="900"/>
    <x v="20"/>
  </r>
  <r>
    <x v="41"/>
    <s v="Household Consumption Expenditure"/>
    <n v="603"/>
    <x v="21"/>
  </r>
  <r>
    <x v="41"/>
    <s v="Household Consumption Expenditure"/>
    <n v="1489"/>
    <x v="22"/>
  </r>
  <r>
    <x v="42"/>
    <s v="Household Consumption Expenditure"/>
    <n v="550"/>
    <x v="13"/>
  </r>
  <r>
    <x v="42"/>
    <s v="Household Consumption Expenditure"/>
    <n v="519"/>
    <x v="14"/>
  </r>
  <r>
    <x v="42"/>
    <s v="Household Consumption Expenditure"/>
    <n v="209"/>
    <x v="15"/>
  </r>
  <r>
    <x v="42"/>
    <s v="Household Consumption Expenditure"/>
    <n v="1349"/>
    <x v="16"/>
  </r>
  <r>
    <x v="42"/>
    <s v="Household Consumption Expenditure"/>
    <n v="683"/>
    <x v="17"/>
  </r>
  <r>
    <x v="42"/>
    <s v="Household Consumption Expenditure"/>
    <n v="2370"/>
    <x v="18"/>
  </r>
  <r>
    <x v="42"/>
    <s v="Household Consumption Expenditure"/>
    <n v="873"/>
    <x v="19"/>
  </r>
  <r>
    <x v="42"/>
    <s v="Household Consumption Expenditure"/>
    <n v="944"/>
    <x v="20"/>
  </r>
  <r>
    <x v="42"/>
    <s v="Household Consumption Expenditure"/>
    <n v="634"/>
    <x v="21"/>
  </r>
  <r>
    <x v="42"/>
    <s v="Household Consumption Expenditure"/>
    <n v="1594"/>
    <x v="22"/>
  </r>
  <r>
    <x v="43"/>
    <s v="Household Consumption Expenditure"/>
    <n v="555"/>
    <x v="13"/>
  </r>
  <r>
    <x v="43"/>
    <s v="Household Consumption Expenditure"/>
    <n v="515"/>
    <x v="14"/>
  </r>
  <r>
    <x v="43"/>
    <s v="Household Consumption Expenditure"/>
    <n v="195"/>
    <x v="15"/>
  </r>
  <r>
    <x v="43"/>
    <s v="Household Consumption Expenditure"/>
    <n v="1355"/>
    <x v="16"/>
  </r>
  <r>
    <x v="43"/>
    <s v="Household Consumption Expenditure"/>
    <n v="684"/>
    <x v="17"/>
  </r>
  <r>
    <x v="43"/>
    <s v="Household Consumption Expenditure"/>
    <n v="2441"/>
    <x v="18"/>
  </r>
  <r>
    <x v="43"/>
    <s v="Household Consumption Expenditure"/>
    <n v="878"/>
    <x v="19"/>
  </r>
  <r>
    <x v="43"/>
    <s v="Household Consumption Expenditure"/>
    <n v="956"/>
    <x v="20"/>
  </r>
  <r>
    <x v="43"/>
    <s v="Household Consumption Expenditure"/>
    <n v="630"/>
    <x v="21"/>
  </r>
  <r>
    <x v="43"/>
    <s v="Household Consumption Expenditure"/>
    <n v="1650"/>
    <x v="22"/>
  </r>
  <r>
    <x v="44"/>
    <s v="Household Consumption Expenditure"/>
    <n v="563"/>
    <x v="13"/>
  </r>
  <r>
    <x v="44"/>
    <s v="Household Consumption Expenditure"/>
    <n v="514"/>
    <x v="14"/>
  </r>
  <r>
    <x v="44"/>
    <s v="Household Consumption Expenditure"/>
    <n v="216"/>
    <x v="15"/>
  </r>
  <r>
    <x v="44"/>
    <s v="Household Consumption Expenditure"/>
    <n v="1372"/>
    <x v="16"/>
  </r>
  <r>
    <x v="44"/>
    <s v="Household Consumption Expenditure"/>
    <n v="688"/>
    <x v="17"/>
  </r>
  <r>
    <x v="44"/>
    <s v="Household Consumption Expenditure"/>
    <n v="2473"/>
    <x v="18"/>
  </r>
  <r>
    <x v="44"/>
    <s v="Household Consumption Expenditure"/>
    <n v="872"/>
    <x v="19"/>
  </r>
  <r>
    <x v="44"/>
    <s v="Household Consumption Expenditure"/>
    <n v="977"/>
    <x v="20"/>
  </r>
  <r>
    <x v="44"/>
    <s v="Household Consumption Expenditure"/>
    <n v="627"/>
    <x v="21"/>
  </r>
  <r>
    <x v="44"/>
    <s v="Household Consumption Expenditure"/>
    <n v="1737"/>
    <x v="22"/>
  </r>
  <r>
    <x v="45"/>
    <s v="Household Consumption Expenditure"/>
    <n v="594"/>
    <x v="13"/>
  </r>
  <r>
    <x v="45"/>
    <s v="Household Consumption Expenditure"/>
    <n v="585"/>
    <x v="14"/>
  </r>
  <r>
    <x v="45"/>
    <s v="Household Consumption Expenditure"/>
    <n v="229"/>
    <x v="15"/>
  </r>
  <r>
    <x v="45"/>
    <s v="Household Consumption Expenditure"/>
    <n v="1472"/>
    <x v="16"/>
  </r>
  <r>
    <x v="45"/>
    <s v="Household Consumption Expenditure"/>
    <n v="726"/>
    <x v="17"/>
  </r>
  <r>
    <x v="45"/>
    <s v="Household Consumption Expenditure"/>
    <n v="2505"/>
    <x v="18"/>
  </r>
  <r>
    <x v="45"/>
    <s v="Household Consumption Expenditure"/>
    <n v="887"/>
    <x v="19"/>
  </r>
  <r>
    <x v="45"/>
    <s v="Household Consumption Expenditure"/>
    <n v="1013"/>
    <x v="20"/>
  </r>
  <r>
    <x v="45"/>
    <s v="Household Consumption Expenditure"/>
    <n v="659"/>
    <x v="21"/>
  </r>
  <r>
    <x v="45"/>
    <s v="Household Consumption Expenditure"/>
    <n v="1838"/>
    <x v="22"/>
  </r>
  <r>
    <x v="46"/>
    <s v="Household Consumption Expenditure"/>
    <n v="587"/>
    <x v="13"/>
  </r>
  <r>
    <x v="46"/>
    <s v="Household Consumption Expenditure"/>
    <n v="558"/>
    <x v="14"/>
  </r>
  <r>
    <x v="46"/>
    <s v="Household Consumption Expenditure"/>
    <n v="255"/>
    <x v="15"/>
  </r>
  <r>
    <x v="46"/>
    <s v="Household Consumption Expenditure"/>
    <n v="1422"/>
    <x v="16"/>
  </r>
  <r>
    <x v="46"/>
    <s v="Household Consumption Expenditure"/>
    <n v="692"/>
    <x v="17"/>
  </r>
  <r>
    <x v="46"/>
    <s v="Household Consumption Expenditure"/>
    <n v="2550"/>
    <x v="18"/>
  </r>
  <r>
    <x v="46"/>
    <s v="Household Consumption Expenditure"/>
    <n v="880"/>
    <x v="19"/>
  </r>
  <r>
    <x v="46"/>
    <s v="Household Consumption Expenditure"/>
    <n v="966"/>
    <x v="20"/>
  </r>
  <r>
    <x v="46"/>
    <s v="Household Consumption Expenditure"/>
    <n v="648"/>
    <x v="21"/>
  </r>
  <r>
    <x v="46"/>
    <s v="Household Consumption Expenditure"/>
    <n v="1644"/>
    <x v="22"/>
  </r>
  <r>
    <x v="47"/>
    <s v="Household Consumption Expenditure"/>
    <n v="604"/>
    <x v="13"/>
  </r>
  <r>
    <x v="47"/>
    <s v="Household Consumption Expenditure"/>
    <n v="550"/>
    <x v="14"/>
  </r>
  <r>
    <x v="47"/>
    <s v="Household Consumption Expenditure"/>
    <n v="273"/>
    <x v="15"/>
  </r>
  <r>
    <x v="47"/>
    <s v="Household Consumption Expenditure"/>
    <n v="1458"/>
    <x v="16"/>
  </r>
  <r>
    <x v="47"/>
    <s v="Household Consumption Expenditure"/>
    <n v="695"/>
    <x v="17"/>
  </r>
  <r>
    <x v="47"/>
    <s v="Household Consumption Expenditure"/>
    <n v="2592"/>
    <x v="18"/>
  </r>
  <r>
    <x v="47"/>
    <s v="Household Consumption Expenditure"/>
    <n v="879"/>
    <x v="19"/>
  </r>
  <r>
    <x v="47"/>
    <s v="Household Consumption Expenditure"/>
    <n v="976"/>
    <x v="20"/>
  </r>
  <r>
    <x v="47"/>
    <s v="Household Consumption Expenditure"/>
    <n v="616"/>
    <x v="21"/>
  </r>
  <r>
    <x v="47"/>
    <s v="Household Consumption Expenditure"/>
    <n v="1701"/>
    <x v="22"/>
  </r>
  <r>
    <x v="48"/>
    <s v="Household Consumption Expenditure"/>
    <n v="632"/>
    <x v="13"/>
  </r>
  <r>
    <x v="48"/>
    <s v="Household Consumption Expenditure"/>
    <n v="548"/>
    <x v="14"/>
  </r>
  <r>
    <x v="48"/>
    <s v="Household Consumption Expenditure"/>
    <n v="277"/>
    <x v="15"/>
  </r>
  <r>
    <x v="48"/>
    <s v="Household Consumption Expenditure"/>
    <n v="1512"/>
    <x v="16"/>
  </r>
  <r>
    <x v="48"/>
    <s v="Household Consumption Expenditure"/>
    <n v="700"/>
    <x v="17"/>
  </r>
  <r>
    <x v="48"/>
    <s v="Household Consumption Expenditure"/>
    <n v="2653"/>
    <x v="18"/>
  </r>
  <r>
    <x v="48"/>
    <s v="Household Consumption Expenditure"/>
    <n v="900"/>
    <x v="19"/>
  </r>
  <r>
    <x v="48"/>
    <s v="Household Consumption Expenditure"/>
    <n v="1006"/>
    <x v="20"/>
  </r>
  <r>
    <x v="48"/>
    <s v="Household Consumption Expenditure"/>
    <n v="651"/>
    <x v="21"/>
  </r>
  <r>
    <x v="48"/>
    <s v="Household Consumption Expenditure"/>
    <n v="1725"/>
    <x v="22"/>
  </r>
  <r>
    <x v="49"/>
    <s v="Household Consumption Expenditure"/>
    <n v="658"/>
    <x v="13"/>
  </r>
  <r>
    <x v="49"/>
    <s v="Household Consumption Expenditure"/>
    <n v="555"/>
    <x v="14"/>
  </r>
  <r>
    <x v="49"/>
    <s v="Household Consumption Expenditure"/>
    <n v="278"/>
    <x v="15"/>
  </r>
  <r>
    <x v="49"/>
    <s v="Household Consumption Expenditure"/>
    <n v="1548"/>
    <x v="16"/>
  </r>
  <r>
    <x v="49"/>
    <s v="Household Consumption Expenditure"/>
    <n v="692"/>
    <x v="17"/>
  </r>
  <r>
    <x v="49"/>
    <s v="Household Consumption Expenditure"/>
    <n v="2711"/>
    <x v="18"/>
  </r>
  <r>
    <x v="49"/>
    <s v="Household Consumption Expenditure"/>
    <n v="930"/>
    <x v="19"/>
  </r>
  <r>
    <x v="49"/>
    <s v="Household Consumption Expenditure"/>
    <n v="1027"/>
    <x v="20"/>
  </r>
  <r>
    <x v="49"/>
    <s v="Household Consumption Expenditure"/>
    <n v="644"/>
    <x v="21"/>
  </r>
  <r>
    <x v="49"/>
    <s v="Household Consumption Expenditure"/>
    <n v="1708"/>
    <x v="22"/>
  </r>
  <r>
    <x v="50"/>
    <s v="Household Consumption Expenditure"/>
    <n v="679"/>
    <x v="13"/>
  </r>
  <r>
    <x v="50"/>
    <s v="Household Consumption Expenditure"/>
    <n v="563"/>
    <x v="14"/>
  </r>
  <r>
    <x v="50"/>
    <s v="Household Consumption Expenditure"/>
    <n v="268"/>
    <x v="15"/>
  </r>
  <r>
    <x v="50"/>
    <s v="Household Consumption Expenditure"/>
    <n v="1573"/>
    <x v="16"/>
  </r>
  <r>
    <x v="50"/>
    <s v="Household Consumption Expenditure"/>
    <n v="688"/>
    <x v="17"/>
  </r>
  <r>
    <x v="50"/>
    <s v="Household Consumption Expenditure"/>
    <n v="2772"/>
    <x v="18"/>
  </r>
  <r>
    <x v="50"/>
    <s v="Household Consumption Expenditure"/>
    <n v="939"/>
    <x v="19"/>
  </r>
  <r>
    <x v="50"/>
    <s v="Household Consumption Expenditure"/>
    <n v="1035"/>
    <x v="20"/>
  </r>
  <r>
    <x v="50"/>
    <s v="Household Consumption Expenditure"/>
    <n v="645"/>
    <x v="21"/>
  </r>
  <r>
    <x v="50"/>
    <s v="Household Consumption Expenditure"/>
    <n v="1702"/>
    <x v="22"/>
  </r>
  <r>
    <x v="51"/>
    <s v="Household Consumption Expenditure"/>
    <n v="700"/>
    <x v="13"/>
  </r>
  <r>
    <x v="51"/>
    <s v="Household Consumption Expenditure"/>
    <n v="574"/>
    <x v="14"/>
  </r>
  <r>
    <x v="51"/>
    <s v="Household Consumption Expenditure"/>
    <n v="273"/>
    <x v="15"/>
  </r>
  <r>
    <x v="51"/>
    <s v="Household Consumption Expenditure"/>
    <n v="1625"/>
    <x v="16"/>
  </r>
  <r>
    <x v="51"/>
    <s v="Household Consumption Expenditure"/>
    <n v="695"/>
    <x v="17"/>
  </r>
  <r>
    <x v="51"/>
    <s v="Household Consumption Expenditure"/>
    <n v="2812"/>
    <x v="18"/>
  </r>
  <r>
    <x v="51"/>
    <s v="Household Consumption Expenditure"/>
    <n v="983"/>
    <x v="19"/>
  </r>
  <r>
    <x v="51"/>
    <s v="Household Consumption Expenditure"/>
    <n v="1046"/>
    <x v="20"/>
  </r>
  <r>
    <x v="51"/>
    <s v="Household Consumption Expenditure"/>
    <n v="668"/>
    <x v="21"/>
  </r>
  <r>
    <x v="51"/>
    <s v="Household Consumption Expenditure"/>
    <n v="1866"/>
    <x v="22"/>
  </r>
  <r>
    <x v="52"/>
    <s v="Household Consumption Expenditure"/>
    <n v="693"/>
    <x v="13"/>
  </r>
  <r>
    <x v="52"/>
    <s v="Household Consumption Expenditure"/>
    <n v="582"/>
    <x v="14"/>
  </r>
  <r>
    <x v="52"/>
    <s v="Household Consumption Expenditure"/>
    <n v="279"/>
    <x v="15"/>
  </r>
  <r>
    <x v="52"/>
    <s v="Household Consumption Expenditure"/>
    <n v="1587"/>
    <x v="16"/>
  </r>
  <r>
    <x v="52"/>
    <s v="Household Consumption Expenditure"/>
    <n v="673"/>
    <x v="17"/>
  </r>
  <r>
    <x v="52"/>
    <s v="Household Consumption Expenditure"/>
    <n v="2846"/>
    <x v="18"/>
  </r>
  <r>
    <x v="52"/>
    <s v="Household Consumption Expenditure"/>
    <n v="974"/>
    <x v="19"/>
  </r>
  <r>
    <x v="52"/>
    <s v="Household Consumption Expenditure"/>
    <n v="1028"/>
    <x v="20"/>
  </r>
  <r>
    <x v="52"/>
    <s v="Household Consumption Expenditure"/>
    <n v="667"/>
    <x v="21"/>
  </r>
  <r>
    <x v="52"/>
    <s v="Household Consumption Expenditure"/>
    <n v="1532"/>
    <x v="22"/>
  </r>
  <r>
    <x v="53"/>
    <s v="Household Consumption Expenditure"/>
    <n v="681"/>
    <x v="13"/>
  </r>
  <r>
    <x v="53"/>
    <s v="Household Consumption Expenditure"/>
    <n v="538"/>
    <x v="14"/>
  </r>
  <r>
    <x v="53"/>
    <s v="Household Consumption Expenditure"/>
    <n v="255"/>
    <x v="15"/>
  </r>
  <r>
    <x v="53"/>
    <s v="Household Consumption Expenditure"/>
    <n v="1574"/>
    <x v="16"/>
  </r>
  <r>
    <x v="53"/>
    <s v="Household Consumption Expenditure"/>
    <n v="671"/>
    <x v="17"/>
  </r>
  <r>
    <x v="53"/>
    <s v="Household Consumption Expenditure"/>
    <n v="2872"/>
    <x v="18"/>
  </r>
  <r>
    <x v="53"/>
    <s v="Household Consumption Expenditure"/>
    <n v="915"/>
    <x v="19"/>
  </r>
  <r>
    <x v="53"/>
    <s v="Household Consumption Expenditure"/>
    <n v="1018"/>
    <x v="20"/>
  </r>
  <r>
    <x v="53"/>
    <s v="Household Consumption Expenditure"/>
    <n v="623"/>
    <x v="21"/>
  </r>
  <r>
    <x v="53"/>
    <s v="Household Consumption Expenditure"/>
    <n v="1571"/>
    <x v="22"/>
  </r>
  <r>
    <x v="54"/>
    <s v="Household Consumption Expenditure"/>
    <n v="679"/>
    <x v="13"/>
  </r>
  <r>
    <x v="54"/>
    <s v="Household Consumption Expenditure"/>
    <n v="547"/>
    <x v="14"/>
  </r>
  <r>
    <x v="54"/>
    <s v="Household Consumption Expenditure"/>
    <n v="295"/>
    <x v="15"/>
  </r>
  <r>
    <x v="54"/>
    <s v="Household Consumption Expenditure"/>
    <n v="1584"/>
    <x v="16"/>
  </r>
  <r>
    <x v="54"/>
    <s v="Household Consumption Expenditure"/>
    <n v="677"/>
    <x v="17"/>
  </r>
  <r>
    <x v="54"/>
    <s v="Household Consumption Expenditure"/>
    <n v="2867"/>
    <x v="18"/>
  </r>
  <r>
    <x v="54"/>
    <s v="Household Consumption Expenditure"/>
    <n v="956"/>
    <x v="19"/>
  </r>
  <r>
    <x v="54"/>
    <s v="Household Consumption Expenditure"/>
    <n v="1027"/>
    <x v="20"/>
  </r>
  <r>
    <x v="54"/>
    <s v="Household Consumption Expenditure"/>
    <n v="593"/>
    <x v="21"/>
  </r>
  <r>
    <x v="54"/>
    <s v="Household Consumption Expenditure"/>
    <n v="1645"/>
    <x v="22"/>
  </r>
  <r>
    <x v="55"/>
    <s v="Household Consumption Expenditure"/>
    <n v="671"/>
    <x v="13"/>
  </r>
  <r>
    <x v="55"/>
    <s v="Household Consumption Expenditure"/>
    <n v="560"/>
    <x v="14"/>
  </r>
  <r>
    <x v="55"/>
    <s v="Household Consumption Expenditure"/>
    <n v="305"/>
    <x v="15"/>
  </r>
  <r>
    <x v="55"/>
    <s v="Household Consumption Expenditure"/>
    <n v="1575"/>
    <x v="16"/>
  </r>
  <r>
    <x v="55"/>
    <s v="Household Consumption Expenditure"/>
    <n v="676"/>
    <x v="17"/>
  </r>
  <r>
    <x v="55"/>
    <s v="Household Consumption Expenditure"/>
    <n v="2885"/>
    <x v="18"/>
  </r>
  <r>
    <x v="55"/>
    <s v="Household Consumption Expenditure"/>
    <n v="953"/>
    <x v="19"/>
  </r>
  <r>
    <x v="55"/>
    <s v="Household Consumption Expenditure"/>
    <n v="1024"/>
    <x v="20"/>
  </r>
  <r>
    <x v="55"/>
    <s v="Household Consumption Expenditure"/>
    <n v="621"/>
    <x v="21"/>
  </r>
  <r>
    <x v="55"/>
    <s v="Household Consumption Expenditure"/>
    <n v="1561"/>
    <x v="22"/>
  </r>
  <r>
    <x v="56"/>
    <s v="Household Consumption Expenditure"/>
    <n v="688"/>
    <x v="13"/>
  </r>
  <r>
    <x v="56"/>
    <s v="Household Consumption Expenditure"/>
    <n v="564"/>
    <x v="14"/>
  </r>
  <r>
    <x v="56"/>
    <s v="Household Consumption Expenditure"/>
    <n v="309"/>
    <x v="15"/>
  </r>
  <r>
    <x v="56"/>
    <s v="Household Consumption Expenditure"/>
    <n v="1632"/>
    <x v="16"/>
  </r>
  <r>
    <x v="56"/>
    <s v="Household Consumption Expenditure"/>
    <n v="694"/>
    <x v="17"/>
  </r>
  <r>
    <x v="56"/>
    <s v="Household Consumption Expenditure"/>
    <n v="2882"/>
    <x v="18"/>
  </r>
  <r>
    <x v="56"/>
    <s v="Household Consumption Expenditure"/>
    <n v="989"/>
    <x v="19"/>
  </r>
  <r>
    <x v="56"/>
    <s v="Household Consumption Expenditure"/>
    <n v="1031"/>
    <x v="20"/>
  </r>
  <r>
    <x v="56"/>
    <s v="Household Consumption Expenditure"/>
    <n v="611"/>
    <x v="21"/>
  </r>
  <r>
    <x v="56"/>
    <s v="Household Consumption Expenditure"/>
    <n v="1545"/>
    <x v="22"/>
  </r>
  <r>
    <x v="57"/>
    <s v="Household Consumption Expenditure"/>
    <n v="676"/>
    <x v="13"/>
  </r>
  <r>
    <x v="57"/>
    <s v="Household Consumption Expenditure"/>
    <n v="567"/>
    <x v="14"/>
  </r>
  <r>
    <x v="57"/>
    <s v="Household Consumption Expenditure"/>
    <n v="301"/>
    <x v="15"/>
  </r>
  <r>
    <x v="57"/>
    <s v="Household Consumption Expenditure"/>
    <n v="1617"/>
    <x v="16"/>
  </r>
  <r>
    <x v="57"/>
    <s v="Household Consumption Expenditure"/>
    <n v="701"/>
    <x v="17"/>
  </r>
  <r>
    <x v="57"/>
    <s v="Household Consumption Expenditure"/>
    <n v="2888"/>
    <x v="18"/>
  </r>
  <r>
    <x v="57"/>
    <s v="Household Consumption Expenditure"/>
    <n v="1002"/>
    <x v="19"/>
  </r>
  <r>
    <x v="57"/>
    <s v="Household Consumption Expenditure"/>
    <n v="1041"/>
    <x v="20"/>
  </r>
  <r>
    <x v="57"/>
    <s v="Household Consumption Expenditure"/>
    <n v="607"/>
    <x v="21"/>
  </r>
  <r>
    <x v="57"/>
    <s v="Household Consumption Expenditure"/>
    <n v="1541"/>
    <x v="22"/>
  </r>
  <r>
    <x v="58"/>
    <s v="Household Consumption Expenditure"/>
    <n v="681"/>
    <x v="13"/>
  </r>
  <r>
    <x v="58"/>
    <s v="Household Consumption Expenditure"/>
    <n v="560"/>
    <x v="14"/>
  </r>
  <r>
    <x v="58"/>
    <s v="Household Consumption Expenditure"/>
    <n v="295"/>
    <x v="15"/>
  </r>
  <r>
    <x v="58"/>
    <s v="Household Consumption Expenditure"/>
    <n v="1640"/>
    <x v="16"/>
  </r>
  <r>
    <x v="58"/>
    <s v="Household Consumption Expenditure"/>
    <n v="710"/>
    <x v="17"/>
  </r>
  <r>
    <x v="58"/>
    <s v="Household Consumption Expenditure"/>
    <n v="2843"/>
    <x v="18"/>
  </r>
  <r>
    <x v="58"/>
    <s v="Household Consumption Expenditure"/>
    <n v="999"/>
    <x v="19"/>
  </r>
  <r>
    <x v="58"/>
    <s v="Household Consumption Expenditure"/>
    <n v="1048"/>
    <x v="20"/>
  </r>
  <r>
    <x v="58"/>
    <s v="Household Consumption Expenditure"/>
    <n v="613"/>
    <x v="21"/>
  </r>
  <r>
    <x v="58"/>
    <s v="Household Consumption Expenditure"/>
    <n v="1549"/>
    <x v="22"/>
  </r>
  <r>
    <x v="59"/>
    <s v="Household Consumption Expenditure"/>
    <n v="692"/>
    <x v="13"/>
  </r>
  <r>
    <x v="59"/>
    <s v="Household Consumption Expenditure"/>
    <n v="554"/>
    <x v="14"/>
  </r>
  <r>
    <x v="59"/>
    <s v="Household Consumption Expenditure"/>
    <n v="298"/>
    <x v="15"/>
  </r>
  <r>
    <x v="59"/>
    <s v="Household Consumption Expenditure"/>
    <n v="1667"/>
    <x v="16"/>
  </r>
  <r>
    <x v="59"/>
    <s v="Household Consumption Expenditure"/>
    <n v="728"/>
    <x v="17"/>
  </r>
  <r>
    <x v="59"/>
    <s v="Household Consumption Expenditure"/>
    <n v="2905"/>
    <x v="18"/>
  </r>
  <r>
    <x v="59"/>
    <s v="Household Consumption Expenditure"/>
    <n v="999"/>
    <x v="19"/>
  </r>
  <r>
    <x v="59"/>
    <s v="Household Consumption Expenditure"/>
    <n v="1073"/>
    <x v="20"/>
  </r>
  <r>
    <x v="59"/>
    <s v="Household Consumption Expenditure"/>
    <n v="657"/>
    <x v="21"/>
  </r>
  <r>
    <x v="59"/>
    <s v="Household Consumption Expenditure"/>
    <n v="1567"/>
    <x v="22"/>
  </r>
  <r>
    <x v="60"/>
    <s v="Household Consumption Expenditure"/>
    <n v="694"/>
    <x v="13"/>
  </r>
  <r>
    <x v="60"/>
    <s v="Household Consumption Expenditure"/>
    <n v="559"/>
    <x v="14"/>
  </r>
  <r>
    <x v="60"/>
    <s v="Household Consumption Expenditure"/>
    <n v="301"/>
    <x v="15"/>
  </r>
  <r>
    <x v="60"/>
    <s v="Household Consumption Expenditure"/>
    <n v="1663"/>
    <x v="16"/>
  </r>
  <r>
    <x v="60"/>
    <s v="Household Consumption Expenditure"/>
    <n v="749"/>
    <x v="17"/>
  </r>
  <r>
    <x v="60"/>
    <s v="Household Consumption Expenditure"/>
    <n v="2916"/>
    <x v="18"/>
  </r>
  <r>
    <x v="60"/>
    <s v="Household Consumption Expenditure"/>
    <n v="981"/>
    <x v="19"/>
  </r>
  <r>
    <x v="60"/>
    <s v="Household Consumption Expenditure"/>
    <n v="1085"/>
    <x v="20"/>
  </r>
  <r>
    <x v="60"/>
    <s v="Household Consumption Expenditure"/>
    <n v="598"/>
    <x v="21"/>
  </r>
  <r>
    <x v="60"/>
    <s v="Household Consumption Expenditure"/>
    <n v="1550"/>
    <x v="22"/>
  </r>
  <r>
    <x v="61"/>
    <s v="Household Consumption Expenditure"/>
    <n v="701"/>
    <x v="13"/>
  </r>
  <r>
    <x v="61"/>
    <s v="Household Consumption Expenditure"/>
    <n v="580"/>
    <x v="14"/>
  </r>
  <r>
    <x v="61"/>
    <s v="Household Consumption Expenditure"/>
    <n v="303"/>
    <x v="15"/>
  </r>
  <r>
    <x v="61"/>
    <s v="Household Consumption Expenditure"/>
    <n v="1663"/>
    <x v="16"/>
  </r>
  <r>
    <x v="61"/>
    <s v="Household Consumption Expenditure"/>
    <n v="780"/>
    <x v="17"/>
  </r>
  <r>
    <x v="61"/>
    <s v="Household Consumption Expenditure"/>
    <n v="2943"/>
    <x v="18"/>
  </r>
  <r>
    <x v="61"/>
    <s v="Household Consumption Expenditure"/>
    <n v="977"/>
    <x v="19"/>
  </r>
  <r>
    <x v="61"/>
    <s v="Household Consumption Expenditure"/>
    <n v="1122"/>
    <x v="20"/>
  </r>
  <r>
    <x v="61"/>
    <s v="Household Consumption Expenditure"/>
    <n v="657"/>
    <x v="21"/>
  </r>
  <r>
    <x v="61"/>
    <s v="Household Consumption Expenditure"/>
    <n v="1538"/>
    <x v="22"/>
  </r>
  <r>
    <x v="62"/>
    <s v="Household Consumption Expenditure"/>
    <n v="703"/>
    <x v="13"/>
  </r>
  <r>
    <x v="62"/>
    <s v="Household Consumption Expenditure"/>
    <n v="589"/>
    <x v="14"/>
  </r>
  <r>
    <x v="62"/>
    <s v="Household Consumption Expenditure"/>
    <n v="301"/>
    <x v="15"/>
  </r>
  <r>
    <x v="62"/>
    <s v="Household Consumption Expenditure"/>
    <n v="1678"/>
    <x v="16"/>
  </r>
  <r>
    <x v="62"/>
    <s v="Household Consumption Expenditure"/>
    <n v="809"/>
    <x v="17"/>
  </r>
  <r>
    <x v="62"/>
    <s v="Household Consumption Expenditure"/>
    <n v="2974"/>
    <x v="18"/>
  </r>
  <r>
    <x v="62"/>
    <s v="Household Consumption Expenditure"/>
    <n v="980"/>
    <x v="19"/>
  </r>
  <r>
    <x v="62"/>
    <s v="Household Consumption Expenditure"/>
    <n v="1162"/>
    <x v="20"/>
  </r>
  <r>
    <x v="62"/>
    <s v="Household Consumption Expenditure"/>
    <n v="669"/>
    <x v="21"/>
  </r>
  <r>
    <x v="62"/>
    <s v="Household Consumption Expenditure"/>
    <n v="1542"/>
    <x v="22"/>
  </r>
  <r>
    <x v="63"/>
    <s v="Household Consumption Expenditure"/>
    <n v="696"/>
    <x v="13"/>
  </r>
  <r>
    <x v="63"/>
    <s v="Household Consumption Expenditure"/>
    <n v="587"/>
    <x v="14"/>
  </r>
  <r>
    <x v="63"/>
    <s v="Household Consumption Expenditure"/>
    <n v="307"/>
    <x v="15"/>
  </r>
  <r>
    <x v="63"/>
    <s v="Household Consumption Expenditure"/>
    <n v="1699"/>
    <x v="16"/>
  </r>
  <r>
    <x v="63"/>
    <s v="Household Consumption Expenditure"/>
    <n v="821"/>
    <x v="17"/>
  </r>
  <r>
    <x v="63"/>
    <s v="Household Consumption Expenditure"/>
    <n v="2994"/>
    <x v="18"/>
  </r>
  <r>
    <x v="63"/>
    <s v="Household Consumption Expenditure"/>
    <n v="968"/>
    <x v="19"/>
  </r>
  <r>
    <x v="63"/>
    <s v="Household Consumption Expenditure"/>
    <n v="1163"/>
    <x v="20"/>
  </r>
  <r>
    <x v="63"/>
    <s v="Household Consumption Expenditure"/>
    <n v="694"/>
    <x v="21"/>
  </r>
  <r>
    <x v="63"/>
    <s v="Household Consumption Expenditure"/>
    <n v="1630"/>
    <x v="22"/>
  </r>
  <r>
    <x v="64"/>
    <s v="Household Consumption Expenditure"/>
    <n v="696"/>
    <x v="13"/>
  </r>
  <r>
    <x v="64"/>
    <s v="Household Consumption Expenditure"/>
    <n v="585"/>
    <x v="14"/>
  </r>
  <r>
    <x v="64"/>
    <s v="Household Consumption Expenditure"/>
    <n v="317"/>
    <x v="15"/>
  </r>
  <r>
    <x v="64"/>
    <s v="Household Consumption Expenditure"/>
    <n v="1702"/>
    <x v="16"/>
  </r>
  <r>
    <x v="64"/>
    <s v="Household Consumption Expenditure"/>
    <n v="849"/>
    <x v="17"/>
  </r>
  <r>
    <x v="64"/>
    <s v="Household Consumption Expenditure"/>
    <n v="3019"/>
    <x v="18"/>
  </r>
  <r>
    <x v="64"/>
    <s v="Household Consumption Expenditure"/>
    <n v="975"/>
    <x v="19"/>
  </r>
  <r>
    <x v="64"/>
    <s v="Household Consumption Expenditure"/>
    <n v="1204"/>
    <x v="20"/>
  </r>
  <r>
    <x v="64"/>
    <s v="Household Consumption Expenditure"/>
    <n v="699"/>
    <x v="21"/>
  </r>
  <r>
    <x v="64"/>
    <s v="Household Consumption Expenditure"/>
    <n v="1778"/>
    <x v="22"/>
  </r>
  <r>
    <x v="65"/>
    <s v="Household Consumption Expenditure"/>
    <n v="698"/>
    <x v="13"/>
  </r>
  <r>
    <x v="65"/>
    <s v="Household Consumption Expenditure"/>
    <n v="607"/>
    <x v="14"/>
  </r>
  <r>
    <x v="65"/>
    <s v="Household Consumption Expenditure"/>
    <n v="323"/>
    <x v="15"/>
  </r>
  <r>
    <x v="65"/>
    <s v="Household Consumption Expenditure"/>
    <n v="1743"/>
    <x v="16"/>
  </r>
  <r>
    <x v="65"/>
    <s v="Household Consumption Expenditure"/>
    <n v="861"/>
    <x v="17"/>
  </r>
  <r>
    <x v="65"/>
    <s v="Household Consumption Expenditure"/>
    <n v="3053"/>
    <x v="18"/>
  </r>
  <r>
    <x v="65"/>
    <s v="Household Consumption Expenditure"/>
    <n v="1006"/>
    <x v="19"/>
  </r>
  <r>
    <x v="65"/>
    <s v="Household Consumption Expenditure"/>
    <n v="1264"/>
    <x v="20"/>
  </r>
  <r>
    <x v="65"/>
    <s v="Household Consumption Expenditure"/>
    <n v="741"/>
    <x v="21"/>
  </r>
  <r>
    <x v="65"/>
    <s v="Household Consumption Expenditure"/>
    <n v="1773"/>
    <x v="22"/>
  </r>
  <r>
    <x v="66"/>
    <s v="Household Consumption Expenditure"/>
    <n v="696"/>
    <x v="13"/>
  </r>
  <r>
    <x v="66"/>
    <s v="Household Consumption Expenditure"/>
    <n v="621"/>
    <x v="14"/>
  </r>
  <r>
    <x v="66"/>
    <s v="Household Consumption Expenditure"/>
    <n v="324"/>
    <x v="15"/>
  </r>
  <r>
    <x v="66"/>
    <s v="Household Consumption Expenditure"/>
    <n v="1780"/>
    <x v="16"/>
  </r>
  <r>
    <x v="66"/>
    <s v="Household Consumption Expenditure"/>
    <n v="881"/>
    <x v="17"/>
  </r>
  <r>
    <x v="66"/>
    <s v="Household Consumption Expenditure"/>
    <n v="3141"/>
    <x v="18"/>
  </r>
  <r>
    <x v="66"/>
    <s v="Household Consumption Expenditure"/>
    <n v="1016"/>
    <x v="19"/>
  </r>
  <r>
    <x v="66"/>
    <s v="Household Consumption Expenditure"/>
    <n v="1285"/>
    <x v="20"/>
  </r>
  <r>
    <x v="66"/>
    <s v="Household Consumption Expenditure"/>
    <n v="730"/>
    <x v="21"/>
  </r>
  <r>
    <x v="66"/>
    <s v="Household Consumption Expenditure"/>
    <n v="1844"/>
    <x v="22"/>
  </r>
  <r>
    <x v="67"/>
    <s v="Household Consumption Expenditure"/>
    <n v="693"/>
    <x v="13"/>
  </r>
  <r>
    <x v="67"/>
    <s v="Household Consumption Expenditure"/>
    <n v="626"/>
    <x v="14"/>
  </r>
  <r>
    <x v="67"/>
    <s v="Household Consumption Expenditure"/>
    <n v="330"/>
    <x v="15"/>
  </r>
  <r>
    <x v="67"/>
    <s v="Household Consumption Expenditure"/>
    <n v="1856"/>
    <x v="16"/>
  </r>
  <r>
    <x v="67"/>
    <s v="Household Consumption Expenditure"/>
    <n v="877"/>
    <x v="17"/>
  </r>
  <r>
    <x v="67"/>
    <s v="Household Consumption Expenditure"/>
    <n v="3208"/>
    <x v="18"/>
  </r>
  <r>
    <x v="67"/>
    <s v="Household Consumption Expenditure"/>
    <n v="1027"/>
    <x v="19"/>
  </r>
  <r>
    <x v="67"/>
    <s v="Household Consumption Expenditure"/>
    <n v="1284"/>
    <x v="20"/>
  </r>
  <r>
    <x v="67"/>
    <s v="Household Consumption Expenditure"/>
    <n v="790"/>
    <x v="21"/>
  </r>
  <r>
    <x v="67"/>
    <s v="Household Consumption Expenditure"/>
    <n v="1883"/>
    <x v="22"/>
  </r>
  <r>
    <x v="68"/>
    <s v="Household Consumption Expenditure"/>
    <n v="703"/>
    <x v="13"/>
  </r>
  <r>
    <x v="68"/>
    <s v="Household Consumption Expenditure"/>
    <n v="619"/>
    <x v="14"/>
  </r>
  <r>
    <x v="68"/>
    <s v="Household Consumption Expenditure"/>
    <n v="340"/>
    <x v="15"/>
  </r>
  <r>
    <x v="68"/>
    <s v="Household Consumption Expenditure"/>
    <n v="1838"/>
    <x v="16"/>
  </r>
  <r>
    <x v="68"/>
    <s v="Household Consumption Expenditure"/>
    <n v="903"/>
    <x v="17"/>
  </r>
  <r>
    <x v="68"/>
    <s v="Household Consumption Expenditure"/>
    <n v="3291"/>
    <x v="18"/>
  </r>
  <r>
    <x v="68"/>
    <s v="Household Consumption Expenditure"/>
    <n v="1053"/>
    <x v="19"/>
  </r>
  <r>
    <x v="68"/>
    <s v="Household Consumption Expenditure"/>
    <n v="1305"/>
    <x v="20"/>
  </r>
  <r>
    <x v="68"/>
    <s v="Household Consumption Expenditure"/>
    <n v="799"/>
    <x v="21"/>
  </r>
  <r>
    <x v="68"/>
    <s v="Household Consumption Expenditure"/>
    <n v="1946"/>
    <x v="22"/>
  </r>
  <r>
    <x v="69"/>
    <s v="Household Consumption Expenditure"/>
    <n v="727"/>
    <x v="13"/>
  </r>
  <r>
    <x v="69"/>
    <s v="Household Consumption Expenditure"/>
    <n v="599"/>
    <x v="14"/>
  </r>
  <r>
    <x v="69"/>
    <s v="Household Consumption Expenditure"/>
    <n v="358"/>
    <x v="15"/>
  </r>
  <r>
    <x v="69"/>
    <s v="Household Consumption Expenditure"/>
    <n v="1882"/>
    <x v="16"/>
  </r>
  <r>
    <x v="69"/>
    <s v="Household Consumption Expenditure"/>
    <n v="903"/>
    <x v="17"/>
  </r>
  <r>
    <x v="69"/>
    <s v="Household Consumption Expenditure"/>
    <n v="3347"/>
    <x v="18"/>
  </r>
  <r>
    <x v="69"/>
    <s v="Household Consumption Expenditure"/>
    <n v="1064"/>
    <x v="19"/>
  </r>
  <r>
    <x v="69"/>
    <s v="Household Consumption Expenditure"/>
    <n v="1309"/>
    <x v="20"/>
  </r>
  <r>
    <x v="69"/>
    <s v="Household Consumption Expenditure"/>
    <n v="725"/>
    <x v="21"/>
  </r>
  <r>
    <x v="69"/>
    <s v="Household Consumption Expenditure"/>
    <n v="1972"/>
    <x v="22"/>
  </r>
  <r>
    <x v="70"/>
    <s v="Household Consumption Expenditure"/>
    <n v="728"/>
    <x v="13"/>
  </r>
  <r>
    <x v="70"/>
    <s v="Household Consumption Expenditure"/>
    <n v="605"/>
    <x v="14"/>
  </r>
  <r>
    <x v="70"/>
    <s v="Household Consumption Expenditure"/>
    <n v="371"/>
    <x v="15"/>
  </r>
  <r>
    <x v="70"/>
    <s v="Household Consumption Expenditure"/>
    <n v="1857"/>
    <x v="16"/>
  </r>
  <r>
    <x v="70"/>
    <s v="Household Consumption Expenditure"/>
    <n v="892"/>
    <x v="17"/>
  </r>
  <r>
    <x v="70"/>
    <s v="Household Consumption Expenditure"/>
    <n v="3438"/>
    <x v="18"/>
  </r>
  <r>
    <x v="70"/>
    <s v="Household Consumption Expenditure"/>
    <n v="1085"/>
    <x v="19"/>
  </r>
  <r>
    <x v="70"/>
    <s v="Household Consumption Expenditure"/>
    <n v="1336"/>
    <x v="20"/>
  </r>
  <r>
    <x v="70"/>
    <s v="Household Consumption Expenditure"/>
    <n v="762"/>
    <x v="21"/>
  </r>
  <r>
    <x v="70"/>
    <s v="Household Consumption Expenditure"/>
    <n v="2038"/>
    <x v="22"/>
  </r>
  <r>
    <x v="71"/>
    <s v="Household Consumption Expenditure"/>
    <n v="745"/>
    <x v="13"/>
  </r>
  <r>
    <x v="71"/>
    <s v="Household Consumption Expenditure"/>
    <n v="614"/>
    <x v="14"/>
  </r>
  <r>
    <x v="71"/>
    <s v="Household Consumption Expenditure"/>
    <n v="375"/>
    <x v="15"/>
  </r>
  <r>
    <x v="71"/>
    <s v="Household Consumption Expenditure"/>
    <n v="1867"/>
    <x v="16"/>
  </r>
  <r>
    <x v="71"/>
    <s v="Household Consumption Expenditure"/>
    <n v="910"/>
    <x v="17"/>
  </r>
  <r>
    <x v="71"/>
    <s v="Household Consumption Expenditure"/>
    <n v="3510"/>
    <x v="18"/>
  </r>
  <r>
    <x v="71"/>
    <s v="Household Consumption Expenditure"/>
    <n v="1112"/>
    <x v="19"/>
  </r>
  <r>
    <x v="71"/>
    <s v="Household Consumption Expenditure"/>
    <n v="1399"/>
    <x v="20"/>
  </r>
  <r>
    <x v="71"/>
    <s v="Household Consumption Expenditure"/>
    <n v="725"/>
    <x v="21"/>
  </r>
  <r>
    <x v="71"/>
    <s v="Household Consumption Expenditure"/>
    <n v="2099"/>
    <x v="22"/>
  </r>
  <r>
    <x v="72"/>
    <s v="Household Consumption Expenditure"/>
    <n v="755"/>
    <x v="13"/>
  </r>
  <r>
    <x v="72"/>
    <s v="Household Consumption Expenditure"/>
    <n v="632"/>
    <x v="14"/>
  </r>
  <r>
    <x v="72"/>
    <s v="Household Consumption Expenditure"/>
    <n v="393"/>
    <x v="15"/>
  </r>
  <r>
    <x v="72"/>
    <s v="Household Consumption Expenditure"/>
    <n v="1967"/>
    <x v="16"/>
  </r>
  <r>
    <x v="72"/>
    <s v="Household Consumption Expenditure"/>
    <n v="890"/>
    <x v="17"/>
  </r>
  <r>
    <x v="72"/>
    <s v="Household Consumption Expenditure"/>
    <n v="3596"/>
    <x v="18"/>
  </r>
  <r>
    <x v="72"/>
    <s v="Household Consumption Expenditure"/>
    <n v="1118"/>
    <x v="19"/>
  </r>
  <r>
    <x v="72"/>
    <s v="Household Consumption Expenditure"/>
    <n v="1428"/>
    <x v="20"/>
  </r>
  <r>
    <x v="72"/>
    <s v="Household Consumption Expenditure"/>
    <n v="772"/>
    <x v="21"/>
  </r>
  <r>
    <x v="72"/>
    <s v="Household Consumption Expenditure"/>
    <n v="2212"/>
    <x v="22"/>
  </r>
  <r>
    <x v="73"/>
    <s v="Household Consumption Expenditure"/>
    <n v="759"/>
    <x v="13"/>
  </r>
  <r>
    <x v="73"/>
    <s v="Household Consumption Expenditure"/>
    <n v="646"/>
    <x v="14"/>
  </r>
  <r>
    <x v="73"/>
    <s v="Household Consumption Expenditure"/>
    <n v="394"/>
    <x v="15"/>
  </r>
  <r>
    <x v="73"/>
    <s v="Household Consumption Expenditure"/>
    <n v="1965"/>
    <x v="16"/>
  </r>
  <r>
    <x v="73"/>
    <s v="Household Consumption Expenditure"/>
    <n v="905"/>
    <x v="17"/>
  </r>
  <r>
    <x v="73"/>
    <s v="Household Consumption Expenditure"/>
    <n v="3676"/>
    <x v="18"/>
  </r>
  <r>
    <x v="73"/>
    <s v="Household Consumption Expenditure"/>
    <n v="1118"/>
    <x v="19"/>
  </r>
  <r>
    <x v="73"/>
    <s v="Household Consumption Expenditure"/>
    <n v="1450"/>
    <x v="20"/>
  </r>
  <r>
    <x v="73"/>
    <s v="Household Consumption Expenditure"/>
    <n v="810"/>
    <x v="21"/>
  </r>
  <r>
    <x v="73"/>
    <s v="Household Consumption Expenditure"/>
    <n v="2263"/>
    <x v="22"/>
  </r>
  <r>
    <x v="74"/>
    <s v="Household Consumption Expenditure"/>
    <n v="766"/>
    <x v="13"/>
  </r>
  <r>
    <x v="74"/>
    <s v="Household Consumption Expenditure"/>
    <n v="640"/>
    <x v="14"/>
  </r>
  <r>
    <x v="74"/>
    <s v="Household Consumption Expenditure"/>
    <n v="400"/>
    <x v="15"/>
  </r>
  <r>
    <x v="74"/>
    <s v="Household Consumption Expenditure"/>
    <n v="2003"/>
    <x v="16"/>
  </r>
  <r>
    <x v="74"/>
    <s v="Household Consumption Expenditure"/>
    <n v="905"/>
    <x v="17"/>
  </r>
  <r>
    <x v="74"/>
    <s v="Household Consumption Expenditure"/>
    <n v="3712"/>
    <x v="18"/>
  </r>
  <r>
    <x v="74"/>
    <s v="Household Consumption Expenditure"/>
    <n v="1122"/>
    <x v="19"/>
  </r>
  <r>
    <x v="74"/>
    <s v="Household Consumption Expenditure"/>
    <n v="1506"/>
    <x v="20"/>
  </r>
  <r>
    <x v="74"/>
    <s v="Household Consumption Expenditure"/>
    <n v="842"/>
    <x v="21"/>
  </r>
  <r>
    <x v="74"/>
    <s v="Household Consumption Expenditure"/>
    <n v="2289"/>
    <x v="22"/>
  </r>
  <r>
    <x v="75"/>
    <s v="Household Consumption Expenditure"/>
    <n v="762"/>
    <x v="13"/>
  </r>
  <r>
    <x v="75"/>
    <s v="Household Consumption Expenditure"/>
    <n v="652"/>
    <x v="14"/>
  </r>
  <r>
    <x v="75"/>
    <s v="Household Consumption Expenditure"/>
    <n v="398"/>
    <x v="15"/>
  </r>
  <r>
    <x v="75"/>
    <s v="Household Consumption Expenditure"/>
    <n v="2005"/>
    <x v="16"/>
  </r>
  <r>
    <x v="75"/>
    <s v="Household Consumption Expenditure"/>
    <n v="899"/>
    <x v="17"/>
  </r>
  <r>
    <x v="75"/>
    <s v="Household Consumption Expenditure"/>
    <n v="3773"/>
    <x v="18"/>
  </r>
  <r>
    <x v="75"/>
    <s v="Household Consumption Expenditure"/>
    <n v="1166"/>
    <x v="19"/>
  </r>
  <r>
    <x v="75"/>
    <s v="Household Consumption Expenditure"/>
    <n v="1520"/>
    <x v="20"/>
  </r>
  <r>
    <x v="75"/>
    <s v="Household Consumption Expenditure"/>
    <n v="813"/>
    <x v="21"/>
  </r>
  <r>
    <x v="75"/>
    <s v="Household Consumption Expenditure"/>
    <n v="2253"/>
    <x v="22"/>
  </r>
  <r>
    <x v="76"/>
    <s v="Household Consumption Expenditure"/>
    <n v="750"/>
    <x v="13"/>
  </r>
  <r>
    <x v="76"/>
    <s v="Household Consumption Expenditure"/>
    <n v="666"/>
    <x v="14"/>
  </r>
  <r>
    <x v="76"/>
    <s v="Household Consumption Expenditure"/>
    <n v="423"/>
    <x v="15"/>
  </r>
  <r>
    <x v="76"/>
    <s v="Household Consumption Expenditure"/>
    <n v="2026"/>
    <x v="16"/>
  </r>
  <r>
    <x v="76"/>
    <s v="Household Consumption Expenditure"/>
    <n v="867"/>
    <x v="17"/>
  </r>
  <r>
    <x v="76"/>
    <s v="Household Consumption Expenditure"/>
    <n v="3819"/>
    <x v="18"/>
  </r>
  <r>
    <x v="76"/>
    <s v="Household Consumption Expenditure"/>
    <n v="1175"/>
    <x v="19"/>
  </r>
  <r>
    <x v="76"/>
    <s v="Household Consumption Expenditure"/>
    <n v="1566"/>
    <x v="20"/>
  </r>
  <r>
    <x v="76"/>
    <s v="Household Consumption Expenditure"/>
    <n v="898"/>
    <x v="21"/>
  </r>
  <r>
    <x v="76"/>
    <s v="Household Consumption Expenditure"/>
    <n v="2178"/>
    <x v="22"/>
  </r>
  <r>
    <x v="77"/>
    <s v="Household Consumption Expenditure"/>
    <n v="754"/>
    <x v="13"/>
  </r>
  <r>
    <x v="77"/>
    <s v="Household Consumption Expenditure"/>
    <n v="696"/>
    <x v="14"/>
  </r>
  <r>
    <x v="77"/>
    <s v="Household Consumption Expenditure"/>
    <n v="454"/>
    <x v="15"/>
  </r>
  <r>
    <x v="77"/>
    <s v="Household Consumption Expenditure"/>
    <n v="2059"/>
    <x v="16"/>
  </r>
  <r>
    <x v="77"/>
    <s v="Household Consumption Expenditure"/>
    <n v="889"/>
    <x v="17"/>
  </r>
  <r>
    <x v="77"/>
    <s v="Household Consumption Expenditure"/>
    <n v="3880"/>
    <x v="18"/>
  </r>
  <r>
    <x v="77"/>
    <s v="Household Consumption Expenditure"/>
    <n v="1210"/>
    <x v="19"/>
  </r>
  <r>
    <x v="77"/>
    <s v="Household Consumption Expenditure"/>
    <n v="1582"/>
    <x v="20"/>
  </r>
  <r>
    <x v="77"/>
    <s v="Household Consumption Expenditure"/>
    <n v="903"/>
    <x v="21"/>
  </r>
  <r>
    <x v="77"/>
    <s v="Household Consumption Expenditure"/>
    <n v="2118"/>
    <x v="22"/>
  </r>
  <r>
    <x v="78"/>
    <s v="Household Consumption Expenditure"/>
    <n v="765"/>
    <x v="13"/>
  </r>
  <r>
    <x v="78"/>
    <s v="Household Consumption Expenditure"/>
    <n v="674"/>
    <x v="14"/>
  </r>
  <r>
    <x v="78"/>
    <s v="Household Consumption Expenditure"/>
    <n v="470"/>
    <x v="15"/>
  </r>
  <r>
    <x v="78"/>
    <s v="Household Consumption Expenditure"/>
    <n v="2067"/>
    <x v="16"/>
  </r>
  <r>
    <x v="78"/>
    <s v="Household Consumption Expenditure"/>
    <n v="893"/>
    <x v="17"/>
  </r>
  <r>
    <x v="78"/>
    <s v="Household Consumption Expenditure"/>
    <n v="3949"/>
    <x v="18"/>
  </r>
  <r>
    <x v="78"/>
    <s v="Household Consumption Expenditure"/>
    <n v="1241"/>
    <x v="19"/>
  </r>
  <r>
    <x v="78"/>
    <s v="Household Consumption Expenditure"/>
    <n v="1615"/>
    <x v="20"/>
  </r>
  <r>
    <x v="78"/>
    <s v="Household Consumption Expenditure"/>
    <n v="889"/>
    <x v="21"/>
  </r>
  <r>
    <x v="78"/>
    <s v="Household Consumption Expenditure"/>
    <n v="2062"/>
    <x v="22"/>
  </r>
  <r>
    <x v="79"/>
    <s v="Household Consumption Expenditure"/>
    <n v="794"/>
    <x v="13"/>
  </r>
  <r>
    <x v="79"/>
    <s v="Household Consumption Expenditure"/>
    <n v="690"/>
    <x v="14"/>
  </r>
  <r>
    <x v="79"/>
    <s v="Household Consumption Expenditure"/>
    <n v="475"/>
    <x v="15"/>
  </r>
  <r>
    <x v="79"/>
    <s v="Household Consumption Expenditure"/>
    <n v="2065"/>
    <x v="16"/>
  </r>
  <r>
    <x v="79"/>
    <s v="Household Consumption Expenditure"/>
    <n v="881"/>
    <x v="17"/>
  </r>
  <r>
    <x v="79"/>
    <s v="Household Consumption Expenditure"/>
    <n v="4025"/>
    <x v="18"/>
  </r>
  <r>
    <x v="79"/>
    <s v="Household Consumption Expenditure"/>
    <n v="1235"/>
    <x v="19"/>
  </r>
  <r>
    <x v="79"/>
    <s v="Household Consumption Expenditure"/>
    <n v="1634"/>
    <x v="20"/>
  </r>
  <r>
    <x v="79"/>
    <s v="Household Consumption Expenditure"/>
    <n v="921"/>
    <x v="21"/>
  </r>
  <r>
    <x v="79"/>
    <s v="Household Consumption Expenditure"/>
    <n v="2053"/>
    <x v="22"/>
  </r>
  <r>
    <x v="80"/>
    <s v="Household Consumption Expenditure"/>
    <n v="820"/>
    <x v="13"/>
  </r>
  <r>
    <x v="80"/>
    <s v="Household Consumption Expenditure"/>
    <n v="692"/>
    <x v="14"/>
  </r>
  <r>
    <x v="80"/>
    <s v="Household Consumption Expenditure"/>
    <n v="429"/>
    <x v="15"/>
  </r>
  <r>
    <x v="80"/>
    <s v="Household Consumption Expenditure"/>
    <n v="2105"/>
    <x v="16"/>
  </r>
  <r>
    <x v="80"/>
    <s v="Household Consumption Expenditure"/>
    <n v="886"/>
    <x v="17"/>
  </r>
  <r>
    <x v="80"/>
    <s v="Household Consumption Expenditure"/>
    <n v="4109"/>
    <x v="18"/>
  </r>
  <r>
    <x v="80"/>
    <s v="Household Consumption Expenditure"/>
    <n v="1238"/>
    <x v="19"/>
  </r>
  <r>
    <x v="80"/>
    <s v="Household Consumption Expenditure"/>
    <n v="1654"/>
    <x v="20"/>
  </r>
  <r>
    <x v="80"/>
    <s v="Household Consumption Expenditure"/>
    <n v="1020"/>
    <x v="21"/>
  </r>
  <r>
    <x v="80"/>
    <s v="Household Consumption Expenditure"/>
    <n v="2072"/>
    <x v="22"/>
  </r>
  <r>
    <x v="81"/>
    <s v="Household Consumption Expenditure"/>
    <n v="822"/>
    <x v="13"/>
  </r>
  <r>
    <x v="81"/>
    <s v="Household Consumption Expenditure"/>
    <n v="687"/>
    <x v="14"/>
  </r>
  <r>
    <x v="81"/>
    <s v="Household Consumption Expenditure"/>
    <n v="382"/>
    <x v="15"/>
  </r>
  <r>
    <x v="81"/>
    <s v="Household Consumption Expenditure"/>
    <n v="2114"/>
    <x v="16"/>
  </r>
  <r>
    <x v="81"/>
    <s v="Household Consumption Expenditure"/>
    <n v="905"/>
    <x v="17"/>
  </r>
  <r>
    <x v="81"/>
    <s v="Household Consumption Expenditure"/>
    <n v="4177"/>
    <x v="18"/>
  </r>
  <r>
    <x v="81"/>
    <s v="Household Consumption Expenditure"/>
    <n v="1242"/>
    <x v="19"/>
  </r>
  <r>
    <x v="81"/>
    <s v="Household Consumption Expenditure"/>
    <n v="1697"/>
    <x v="20"/>
  </r>
  <r>
    <x v="81"/>
    <s v="Household Consumption Expenditure"/>
    <n v="970"/>
    <x v="21"/>
  </r>
  <r>
    <x v="81"/>
    <s v="Household Consumption Expenditure"/>
    <n v="2094"/>
    <x v="22"/>
  </r>
  <r>
    <x v="82"/>
    <s v="Household Consumption Expenditure"/>
    <n v="837"/>
    <x v="13"/>
  </r>
  <r>
    <x v="82"/>
    <s v="Household Consumption Expenditure"/>
    <n v="685"/>
    <x v="14"/>
  </r>
  <r>
    <x v="82"/>
    <s v="Household Consumption Expenditure"/>
    <n v="485"/>
    <x v="15"/>
  </r>
  <r>
    <x v="82"/>
    <s v="Household Consumption Expenditure"/>
    <n v="2155"/>
    <x v="16"/>
  </r>
  <r>
    <x v="82"/>
    <s v="Household Consumption Expenditure"/>
    <n v="918"/>
    <x v="17"/>
  </r>
  <r>
    <x v="82"/>
    <s v="Household Consumption Expenditure"/>
    <n v="4178"/>
    <x v="18"/>
  </r>
  <r>
    <x v="82"/>
    <s v="Household Consumption Expenditure"/>
    <n v="1264"/>
    <x v="19"/>
  </r>
  <r>
    <x v="82"/>
    <s v="Household Consumption Expenditure"/>
    <n v="1673"/>
    <x v="20"/>
  </r>
  <r>
    <x v="82"/>
    <s v="Household Consumption Expenditure"/>
    <n v="943"/>
    <x v="21"/>
  </r>
  <r>
    <x v="82"/>
    <s v="Household Consumption Expenditure"/>
    <n v="2078"/>
    <x v="22"/>
  </r>
  <r>
    <x v="83"/>
    <s v="Household Consumption Expenditure"/>
    <n v="852"/>
    <x v="13"/>
  </r>
  <r>
    <x v="83"/>
    <s v="Household Consumption Expenditure"/>
    <n v="695"/>
    <x v="14"/>
  </r>
  <r>
    <x v="83"/>
    <s v="Household Consumption Expenditure"/>
    <n v="472"/>
    <x v="15"/>
  </r>
  <r>
    <x v="83"/>
    <s v="Household Consumption Expenditure"/>
    <n v="2172"/>
    <x v="16"/>
  </r>
  <r>
    <x v="83"/>
    <s v="Household Consumption Expenditure"/>
    <n v="946"/>
    <x v="17"/>
  </r>
  <r>
    <x v="83"/>
    <s v="Household Consumption Expenditure"/>
    <n v="4167"/>
    <x v="18"/>
  </r>
  <r>
    <x v="83"/>
    <s v="Household Consumption Expenditure"/>
    <n v="1285"/>
    <x v="19"/>
  </r>
  <r>
    <x v="83"/>
    <s v="Household Consumption Expenditure"/>
    <n v="1716"/>
    <x v="20"/>
  </r>
  <r>
    <x v="83"/>
    <s v="Household Consumption Expenditure"/>
    <n v="1001"/>
    <x v="21"/>
  </r>
  <r>
    <x v="83"/>
    <s v="Household Consumption Expenditure"/>
    <n v="2156"/>
    <x v="22"/>
  </r>
  <r>
    <x v="84"/>
    <s v="Household Consumption Expenditure"/>
    <n v="861"/>
    <x v="13"/>
  </r>
  <r>
    <x v="84"/>
    <s v="Household Consumption Expenditure"/>
    <n v="701"/>
    <x v="14"/>
  </r>
  <r>
    <x v="84"/>
    <s v="Household Consumption Expenditure"/>
    <n v="491"/>
    <x v="15"/>
  </r>
  <r>
    <x v="84"/>
    <s v="Household Consumption Expenditure"/>
    <n v="2209"/>
    <x v="16"/>
  </r>
  <r>
    <x v="84"/>
    <s v="Household Consumption Expenditure"/>
    <n v="970"/>
    <x v="17"/>
  </r>
  <r>
    <x v="84"/>
    <s v="Household Consumption Expenditure"/>
    <n v="4153"/>
    <x v="18"/>
  </r>
  <r>
    <x v="84"/>
    <s v="Household Consumption Expenditure"/>
    <n v="1312"/>
    <x v="19"/>
  </r>
  <r>
    <x v="84"/>
    <s v="Household Consumption Expenditure"/>
    <n v="1732"/>
    <x v="20"/>
  </r>
  <r>
    <x v="84"/>
    <s v="Household Consumption Expenditure"/>
    <n v="978"/>
    <x v="21"/>
  </r>
  <r>
    <x v="84"/>
    <s v="Household Consumption Expenditure"/>
    <n v="2161"/>
    <x v="22"/>
  </r>
  <r>
    <x v="85"/>
    <s v="Household Consumption Expenditure"/>
    <n v="866"/>
    <x v="13"/>
  </r>
  <r>
    <x v="85"/>
    <s v="Household Consumption Expenditure"/>
    <n v="720"/>
    <x v="14"/>
  </r>
  <r>
    <x v="85"/>
    <s v="Household Consumption Expenditure"/>
    <n v="477"/>
    <x v="15"/>
  </r>
  <r>
    <x v="85"/>
    <s v="Household Consumption Expenditure"/>
    <n v="2221"/>
    <x v="16"/>
  </r>
  <r>
    <x v="85"/>
    <s v="Household Consumption Expenditure"/>
    <n v="972"/>
    <x v="17"/>
  </r>
  <r>
    <x v="85"/>
    <s v="Household Consumption Expenditure"/>
    <n v="4192"/>
    <x v="18"/>
  </r>
  <r>
    <x v="85"/>
    <s v="Household Consumption Expenditure"/>
    <n v="1344"/>
    <x v="19"/>
  </r>
  <r>
    <x v="85"/>
    <s v="Household Consumption Expenditure"/>
    <n v="1769"/>
    <x v="20"/>
  </r>
  <r>
    <x v="85"/>
    <s v="Household Consumption Expenditure"/>
    <n v="1013"/>
    <x v="21"/>
  </r>
  <r>
    <x v="85"/>
    <s v="Household Consumption Expenditure"/>
    <n v="2197"/>
    <x v="22"/>
  </r>
  <r>
    <x v="86"/>
    <s v="Household Consumption Expenditure"/>
    <n v="865"/>
    <x v="13"/>
  </r>
  <r>
    <x v="86"/>
    <s v="Household Consumption Expenditure"/>
    <n v="737"/>
    <x v="14"/>
  </r>
  <r>
    <x v="86"/>
    <s v="Household Consumption Expenditure"/>
    <n v="452"/>
    <x v="15"/>
  </r>
  <r>
    <x v="86"/>
    <s v="Household Consumption Expenditure"/>
    <n v="2248"/>
    <x v="16"/>
  </r>
  <r>
    <x v="86"/>
    <s v="Household Consumption Expenditure"/>
    <n v="989"/>
    <x v="17"/>
  </r>
  <r>
    <x v="86"/>
    <s v="Household Consumption Expenditure"/>
    <n v="4239"/>
    <x v="18"/>
  </r>
  <r>
    <x v="86"/>
    <s v="Household Consumption Expenditure"/>
    <n v="1352"/>
    <x v="19"/>
  </r>
  <r>
    <x v="86"/>
    <s v="Household Consumption Expenditure"/>
    <n v="1794"/>
    <x v="20"/>
  </r>
  <r>
    <x v="86"/>
    <s v="Household Consumption Expenditure"/>
    <n v="994"/>
    <x v="21"/>
  </r>
  <r>
    <x v="86"/>
    <s v="Household Consumption Expenditure"/>
    <n v="2235"/>
    <x v="22"/>
  </r>
  <r>
    <x v="87"/>
    <s v="Household Consumption Expenditure"/>
    <n v="860"/>
    <x v="13"/>
  </r>
  <r>
    <x v="87"/>
    <s v="Household Consumption Expenditure"/>
    <n v="742"/>
    <x v="14"/>
  </r>
  <r>
    <x v="87"/>
    <s v="Household Consumption Expenditure"/>
    <n v="457"/>
    <x v="15"/>
  </r>
  <r>
    <x v="87"/>
    <s v="Household Consumption Expenditure"/>
    <n v="2258"/>
    <x v="16"/>
  </r>
  <r>
    <x v="87"/>
    <s v="Household Consumption Expenditure"/>
    <n v="1006"/>
    <x v="17"/>
  </r>
  <r>
    <x v="87"/>
    <s v="Household Consumption Expenditure"/>
    <n v="4270"/>
    <x v="18"/>
  </r>
  <r>
    <x v="87"/>
    <s v="Household Consumption Expenditure"/>
    <n v="1370"/>
    <x v="19"/>
  </r>
  <r>
    <x v="87"/>
    <s v="Household Consumption Expenditure"/>
    <n v="1820"/>
    <x v="20"/>
  </r>
  <r>
    <x v="87"/>
    <s v="Household Consumption Expenditure"/>
    <n v="925"/>
    <x v="21"/>
  </r>
  <r>
    <x v="87"/>
    <s v="Household Consumption Expenditure"/>
    <n v="2207"/>
    <x v="22"/>
  </r>
  <r>
    <x v="88"/>
    <s v="Household Consumption Expenditure"/>
    <n v="861"/>
    <x v="13"/>
  </r>
  <r>
    <x v="88"/>
    <s v="Household Consumption Expenditure"/>
    <n v="752"/>
    <x v="14"/>
  </r>
  <r>
    <x v="88"/>
    <s v="Household Consumption Expenditure"/>
    <n v="459"/>
    <x v="15"/>
  </r>
  <r>
    <x v="88"/>
    <s v="Household Consumption Expenditure"/>
    <n v="2287"/>
    <x v="16"/>
  </r>
  <r>
    <x v="88"/>
    <s v="Household Consumption Expenditure"/>
    <n v="1005"/>
    <x v="17"/>
  </r>
  <r>
    <x v="88"/>
    <s v="Household Consumption Expenditure"/>
    <n v="4305"/>
    <x v="18"/>
  </r>
  <r>
    <x v="88"/>
    <s v="Household Consumption Expenditure"/>
    <n v="1385"/>
    <x v="19"/>
  </r>
  <r>
    <x v="88"/>
    <s v="Household Consumption Expenditure"/>
    <n v="1822"/>
    <x v="20"/>
  </r>
  <r>
    <x v="88"/>
    <s v="Household Consumption Expenditure"/>
    <n v="856"/>
    <x v="21"/>
  </r>
  <r>
    <x v="88"/>
    <s v="Household Consumption Expenditure"/>
    <n v="2191"/>
    <x v="22"/>
  </r>
  <r>
    <x v="89"/>
    <s v="Household Consumption Expenditure"/>
    <n v="885"/>
    <x v="13"/>
  </r>
  <r>
    <x v="89"/>
    <s v="Household Consumption Expenditure"/>
    <n v="758"/>
    <x v="14"/>
  </r>
  <r>
    <x v="89"/>
    <s v="Household Consumption Expenditure"/>
    <n v="480"/>
    <x v="15"/>
  </r>
  <r>
    <x v="89"/>
    <s v="Household Consumption Expenditure"/>
    <n v="2320"/>
    <x v="16"/>
  </r>
  <r>
    <x v="89"/>
    <s v="Household Consumption Expenditure"/>
    <n v="1010"/>
    <x v="17"/>
  </r>
  <r>
    <x v="89"/>
    <s v="Household Consumption Expenditure"/>
    <n v="4320"/>
    <x v="18"/>
  </r>
  <r>
    <x v="89"/>
    <s v="Household Consumption Expenditure"/>
    <n v="2"/>
    <x v="23"/>
  </r>
  <r>
    <x v="89"/>
    <s v="Household Consumption Expenditure"/>
    <n v="1397"/>
    <x v="19"/>
  </r>
  <r>
    <x v="89"/>
    <s v="Household Consumption Expenditure"/>
    <n v="1844"/>
    <x v="20"/>
  </r>
  <r>
    <x v="89"/>
    <s v="Household Consumption Expenditure"/>
    <n v="973"/>
    <x v="21"/>
  </r>
  <r>
    <x v="89"/>
    <s v="Household Consumption Expenditure"/>
    <n v="2270"/>
    <x v="22"/>
  </r>
  <r>
    <x v="90"/>
    <s v="Household Consumption Expenditure"/>
    <n v="914"/>
    <x v="13"/>
  </r>
  <r>
    <x v="90"/>
    <s v="Household Consumption Expenditure"/>
    <n v="780"/>
    <x v="14"/>
  </r>
  <r>
    <x v="90"/>
    <s v="Household Consumption Expenditure"/>
    <n v="474"/>
    <x v="15"/>
  </r>
  <r>
    <x v="90"/>
    <s v="Household Consumption Expenditure"/>
    <n v="2363"/>
    <x v="16"/>
  </r>
  <r>
    <x v="90"/>
    <s v="Household Consumption Expenditure"/>
    <n v="1030"/>
    <x v="17"/>
  </r>
  <r>
    <x v="90"/>
    <s v="Household Consumption Expenditure"/>
    <n v="4346"/>
    <x v="18"/>
  </r>
  <r>
    <x v="90"/>
    <s v="Household Consumption Expenditure"/>
    <n v="3"/>
    <x v="23"/>
  </r>
  <r>
    <x v="90"/>
    <s v="Household Consumption Expenditure"/>
    <n v="1423"/>
    <x v="19"/>
  </r>
  <r>
    <x v="90"/>
    <s v="Household Consumption Expenditure"/>
    <n v="1907"/>
    <x v="20"/>
  </r>
  <r>
    <x v="90"/>
    <s v="Household Consumption Expenditure"/>
    <n v="977"/>
    <x v="21"/>
  </r>
  <r>
    <x v="90"/>
    <s v="Household Consumption Expenditure"/>
    <n v="2283"/>
    <x v="22"/>
  </r>
  <r>
    <x v="91"/>
    <s v="Household Consumption Expenditure"/>
    <n v="934"/>
    <x v="13"/>
  </r>
  <r>
    <x v="91"/>
    <s v="Household Consumption Expenditure"/>
    <n v="775"/>
    <x v="14"/>
  </r>
  <r>
    <x v="91"/>
    <s v="Household Consumption Expenditure"/>
    <n v="472"/>
    <x v="15"/>
  </r>
  <r>
    <x v="91"/>
    <s v="Household Consumption Expenditure"/>
    <n v="2406"/>
    <x v="16"/>
  </r>
  <r>
    <x v="91"/>
    <s v="Household Consumption Expenditure"/>
    <n v="1034"/>
    <x v="17"/>
  </r>
  <r>
    <x v="91"/>
    <s v="Household Consumption Expenditure"/>
    <n v="4384"/>
    <x v="18"/>
  </r>
  <r>
    <x v="91"/>
    <s v="Household Consumption Expenditure"/>
    <n v="6"/>
    <x v="23"/>
  </r>
  <r>
    <x v="91"/>
    <s v="Household Consumption Expenditure"/>
    <n v="1432"/>
    <x v="19"/>
  </r>
  <r>
    <x v="91"/>
    <s v="Household Consumption Expenditure"/>
    <n v="1903"/>
    <x v="20"/>
  </r>
  <r>
    <x v="91"/>
    <s v="Household Consumption Expenditure"/>
    <n v="950"/>
    <x v="21"/>
  </r>
  <r>
    <x v="91"/>
    <s v="Household Consumption Expenditure"/>
    <n v="2286"/>
    <x v="22"/>
  </r>
  <r>
    <x v="92"/>
    <s v="Household Consumption Expenditure"/>
    <n v="954"/>
    <x v="13"/>
  </r>
  <r>
    <x v="92"/>
    <s v="Household Consumption Expenditure"/>
    <n v="776"/>
    <x v="14"/>
  </r>
  <r>
    <x v="92"/>
    <s v="Household Consumption Expenditure"/>
    <n v="478"/>
    <x v="15"/>
  </r>
  <r>
    <x v="92"/>
    <s v="Household Consumption Expenditure"/>
    <n v="2395"/>
    <x v="16"/>
  </r>
  <r>
    <x v="92"/>
    <s v="Household Consumption Expenditure"/>
    <n v="1041"/>
    <x v="17"/>
  </r>
  <r>
    <x v="92"/>
    <s v="Household Consumption Expenditure"/>
    <n v="4322"/>
    <x v="18"/>
  </r>
  <r>
    <x v="92"/>
    <s v="Household Consumption Expenditure"/>
    <n v="8"/>
    <x v="23"/>
  </r>
  <r>
    <x v="92"/>
    <s v="Household Consumption Expenditure"/>
    <n v="1439"/>
    <x v="19"/>
  </r>
  <r>
    <x v="92"/>
    <s v="Household Consumption Expenditure"/>
    <n v="1935"/>
    <x v="20"/>
  </r>
  <r>
    <x v="92"/>
    <s v="Household Consumption Expenditure"/>
    <n v="897"/>
    <x v="21"/>
  </r>
  <r>
    <x v="92"/>
    <s v="Household Consumption Expenditure"/>
    <n v="2265"/>
    <x v="22"/>
  </r>
  <r>
    <x v="93"/>
    <s v="Household Consumption Expenditure"/>
    <n v="982"/>
    <x v="13"/>
  </r>
  <r>
    <x v="93"/>
    <s v="Household Consumption Expenditure"/>
    <n v="795"/>
    <x v="14"/>
  </r>
  <r>
    <x v="93"/>
    <s v="Household Consumption Expenditure"/>
    <n v="490"/>
    <x v="15"/>
  </r>
  <r>
    <x v="93"/>
    <s v="Household Consumption Expenditure"/>
    <n v="2468"/>
    <x v="16"/>
  </r>
  <r>
    <x v="93"/>
    <s v="Household Consumption Expenditure"/>
    <n v="1058"/>
    <x v="17"/>
  </r>
  <r>
    <x v="93"/>
    <s v="Household Consumption Expenditure"/>
    <n v="4356"/>
    <x v="18"/>
  </r>
  <r>
    <x v="93"/>
    <s v="Household Consumption Expenditure"/>
    <n v="11"/>
    <x v="23"/>
  </r>
  <r>
    <x v="93"/>
    <s v="Household Consumption Expenditure"/>
    <n v="1454"/>
    <x v="19"/>
  </r>
  <r>
    <x v="93"/>
    <s v="Household Consumption Expenditure"/>
    <n v="1965"/>
    <x v="20"/>
  </r>
  <r>
    <x v="93"/>
    <s v="Household Consumption Expenditure"/>
    <n v="942"/>
    <x v="21"/>
  </r>
  <r>
    <x v="93"/>
    <s v="Household Consumption Expenditure"/>
    <n v="2411"/>
    <x v="22"/>
  </r>
  <r>
    <x v="94"/>
    <s v="Household Consumption Expenditure"/>
    <n v="996"/>
    <x v="13"/>
  </r>
  <r>
    <x v="94"/>
    <s v="Household Consumption Expenditure"/>
    <n v="805"/>
    <x v="14"/>
  </r>
  <r>
    <x v="94"/>
    <s v="Household Consumption Expenditure"/>
    <n v="519"/>
    <x v="15"/>
  </r>
  <r>
    <x v="94"/>
    <s v="Household Consumption Expenditure"/>
    <n v="2508"/>
    <x v="16"/>
  </r>
  <r>
    <x v="94"/>
    <s v="Household Consumption Expenditure"/>
    <n v="1066"/>
    <x v="17"/>
  </r>
  <r>
    <x v="94"/>
    <s v="Household Consumption Expenditure"/>
    <n v="4371"/>
    <x v="18"/>
  </r>
  <r>
    <x v="94"/>
    <s v="Household Consumption Expenditure"/>
    <n v="15"/>
    <x v="23"/>
  </r>
  <r>
    <x v="94"/>
    <s v="Household Consumption Expenditure"/>
    <n v="1484"/>
    <x v="19"/>
  </r>
  <r>
    <x v="94"/>
    <s v="Household Consumption Expenditure"/>
    <n v="2009"/>
    <x v="20"/>
  </r>
  <r>
    <x v="94"/>
    <s v="Household Consumption Expenditure"/>
    <n v="986"/>
    <x v="21"/>
  </r>
  <r>
    <x v="94"/>
    <s v="Household Consumption Expenditure"/>
    <n v="2442"/>
    <x v="22"/>
  </r>
  <r>
    <x v="95"/>
    <s v="Household Consumption Expenditure"/>
    <n v="1010"/>
    <x v="13"/>
  </r>
  <r>
    <x v="95"/>
    <s v="Household Consumption Expenditure"/>
    <n v="818"/>
    <x v="14"/>
  </r>
  <r>
    <x v="95"/>
    <s v="Household Consumption Expenditure"/>
    <n v="514"/>
    <x v="15"/>
  </r>
  <r>
    <x v="95"/>
    <s v="Household Consumption Expenditure"/>
    <n v="2549"/>
    <x v="16"/>
  </r>
  <r>
    <x v="95"/>
    <s v="Household Consumption Expenditure"/>
    <n v="1094"/>
    <x v="17"/>
  </r>
  <r>
    <x v="95"/>
    <s v="Household Consumption Expenditure"/>
    <n v="4413"/>
    <x v="18"/>
  </r>
  <r>
    <x v="95"/>
    <s v="Household Consumption Expenditure"/>
    <n v="16"/>
    <x v="23"/>
  </r>
  <r>
    <x v="95"/>
    <s v="Household Consumption Expenditure"/>
    <n v="1518"/>
    <x v="19"/>
  </r>
  <r>
    <x v="95"/>
    <s v="Household Consumption Expenditure"/>
    <n v="2038"/>
    <x v="20"/>
  </r>
  <r>
    <x v="95"/>
    <s v="Household Consumption Expenditure"/>
    <n v="992"/>
    <x v="21"/>
  </r>
  <r>
    <x v="95"/>
    <s v="Household Consumption Expenditure"/>
    <n v="2427"/>
    <x v="22"/>
  </r>
  <r>
    <x v="96"/>
    <s v="Household Consumption Expenditure"/>
    <n v="1021"/>
    <x v="13"/>
  </r>
  <r>
    <x v="96"/>
    <s v="Household Consumption Expenditure"/>
    <n v="818"/>
    <x v="14"/>
  </r>
  <r>
    <x v="96"/>
    <s v="Household Consumption Expenditure"/>
    <n v="519"/>
    <x v="15"/>
  </r>
  <r>
    <x v="96"/>
    <s v="Household Consumption Expenditure"/>
    <n v="2573"/>
    <x v="16"/>
  </r>
  <r>
    <x v="96"/>
    <s v="Household Consumption Expenditure"/>
    <n v="1120"/>
    <x v="17"/>
  </r>
  <r>
    <x v="96"/>
    <s v="Household Consumption Expenditure"/>
    <n v="4493"/>
    <x v="18"/>
  </r>
  <r>
    <x v="96"/>
    <s v="Household Consumption Expenditure"/>
    <n v="18"/>
    <x v="23"/>
  </r>
  <r>
    <x v="96"/>
    <s v="Household Consumption Expenditure"/>
    <n v="1546"/>
    <x v="19"/>
  </r>
  <r>
    <x v="96"/>
    <s v="Household Consumption Expenditure"/>
    <n v="2000"/>
    <x v="20"/>
  </r>
  <r>
    <x v="96"/>
    <s v="Household Consumption Expenditure"/>
    <n v="873"/>
    <x v="21"/>
  </r>
  <r>
    <x v="96"/>
    <s v="Household Consumption Expenditure"/>
    <n v="2440"/>
    <x v="22"/>
  </r>
  <r>
    <x v="97"/>
    <s v="Household Consumption Expenditure"/>
    <n v="1038"/>
    <x v="13"/>
  </r>
  <r>
    <x v="97"/>
    <s v="Household Consumption Expenditure"/>
    <n v="842"/>
    <x v="14"/>
  </r>
  <r>
    <x v="97"/>
    <s v="Household Consumption Expenditure"/>
    <n v="534"/>
    <x v="15"/>
  </r>
  <r>
    <x v="97"/>
    <s v="Household Consumption Expenditure"/>
    <n v="2671"/>
    <x v="16"/>
  </r>
  <r>
    <x v="97"/>
    <s v="Household Consumption Expenditure"/>
    <n v="1160"/>
    <x v="17"/>
  </r>
  <r>
    <x v="97"/>
    <s v="Household Consumption Expenditure"/>
    <n v="4560"/>
    <x v="18"/>
  </r>
  <r>
    <x v="97"/>
    <s v="Household Consumption Expenditure"/>
    <n v="19"/>
    <x v="23"/>
  </r>
  <r>
    <x v="97"/>
    <s v="Household Consumption Expenditure"/>
    <n v="1589"/>
    <x v="19"/>
  </r>
  <r>
    <x v="97"/>
    <s v="Household Consumption Expenditure"/>
    <n v="2115"/>
    <x v="20"/>
  </r>
  <r>
    <x v="97"/>
    <s v="Household Consumption Expenditure"/>
    <n v="982"/>
    <x v="21"/>
  </r>
  <r>
    <x v="97"/>
    <s v="Household Consumption Expenditure"/>
    <n v="2485"/>
    <x v="22"/>
  </r>
  <r>
    <x v="98"/>
    <s v="Household Consumption Expenditure"/>
    <n v="1049"/>
    <x v="13"/>
  </r>
  <r>
    <x v="98"/>
    <s v="Household Consumption Expenditure"/>
    <n v="842"/>
    <x v="14"/>
  </r>
  <r>
    <x v="98"/>
    <s v="Household Consumption Expenditure"/>
    <n v="526"/>
    <x v="15"/>
  </r>
  <r>
    <x v="98"/>
    <s v="Household Consumption Expenditure"/>
    <n v="2737"/>
    <x v="16"/>
  </r>
  <r>
    <x v="98"/>
    <s v="Household Consumption Expenditure"/>
    <n v="1183"/>
    <x v="17"/>
  </r>
  <r>
    <x v="98"/>
    <s v="Household Consumption Expenditure"/>
    <n v="4614"/>
    <x v="18"/>
  </r>
  <r>
    <x v="98"/>
    <s v="Household Consumption Expenditure"/>
    <n v="21"/>
    <x v="23"/>
  </r>
  <r>
    <x v="98"/>
    <s v="Household Consumption Expenditure"/>
    <n v="1617"/>
    <x v="19"/>
  </r>
  <r>
    <x v="98"/>
    <s v="Household Consumption Expenditure"/>
    <n v="2112"/>
    <x v="20"/>
  </r>
  <r>
    <x v="98"/>
    <s v="Household Consumption Expenditure"/>
    <n v="987"/>
    <x v="21"/>
  </r>
  <r>
    <x v="98"/>
    <s v="Household Consumption Expenditure"/>
    <n v="2589"/>
    <x v="22"/>
  </r>
  <r>
    <x v="99"/>
    <s v="Household Consumption Expenditure"/>
    <n v="1051"/>
    <x v="13"/>
  </r>
  <r>
    <x v="99"/>
    <s v="Household Consumption Expenditure"/>
    <n v="843"/>
    <x v="14"/>
  </r>
  <r>
    <x v="99"/>
    <s v="Household Consumption Expenditure"/>
    <n v="544"/>
    <x v="15"/>
  </r>
  <r>
    <x v="99"/>
    <s v="Household Consumption Expenditure"/>
    <n v="2776"/>
    <x v="16"/>
  </r>
  <r>
    <x v="99"/>
    <s v="Household Consumption Expenditure"/>
    <n v="1202"/>
    <x v="17"/>
  </r>
  <r>
    <x v="99"/>
    <s v="Household Consumption Expenditure"/>
    <n v="4689"/>
    <x v="18"/>
  </r>
  <r>
    <x v="99"/>
    <s v="Household Consumption Expenditure"/>
    <n v="25"/>
    <x v="23"/>
  </r>
  <r>
    <x v="99"/>
    <s v="Household Consumption Expenditure"/>
    <n v="1658"/>
    <x v="19"/>
  </r>
  <r>
    <x v="99"/>
    <s v="Household Consumption Expenditure"/>
    <n v="2168"/>
    <x v="20"/>
  </r>
  <r>
    <x v="99"/>
    <s v="Household Consumption Expenditure"/>
    <n v="965"/>
    <x v="21"/>
  </r>
  <r>
    <x v="99"/>
    <s v="Household Consumption Expenditure"/>
    <n v="2620"/>
    <x v="22"/>
  </r>
  <r>
    <x v="100"/>
    <s v="Household Consumption Expenditure"/>
    <n v="1056"/>
    <x v="13"/>
  </r>
  <r>
    <x v="100"/>
    <s v="Household Consumption Expenditure"/>
    <n v="848"/>
    <x v="14"/>
  </r>
  <r>
    <x v="100"/>
    <s v="Household Consumption Expenditure"/>
    <n v="558"/>
    <x v="15"/>
  </r>
  <r>
    <x v="100"/>
    <s v="Household Consumption Expenditure"/>
    <n v="2792"/>
    <x v="16"/>
  </r>
  <r>
    <x v="100"/>
    <s v="Household Consumption Expenditure"/>
    <n v="1212"/>
    <x v="17"/>
  </r>
  <r>
    <x v="100"/>
    <s v="Household Consumption Expenditure"/>
    <n v="4763"/>
    <x v="18"/>
  </r>
  <r>
    <x v="100"/>
    <s v="Household Consumption Expenditure"/>
    <n v="29"/>
    <x v="23"/>
  </r>
  <r>
    <x v="100"/>
    <s v="Household Consumption Expenditure"/>
    <n v="1680"/>
    <x v="19"/>
  </r>
  <r>
    <x v="100"/>
    <s v="Household Consumption Expenditure"/>
    <n v="2192"/>
    <x v="20"/>
  </r>
  <r>
    <x v="100"/>
    <s v="Household Consumption Expenditure"/>
    <n v="1051"/>
    <x v="21"/>
  </r>
  <r>
    <x v="100"/>
    <s v="Household Consumption Expenditure"/>
    <n v="2674"/>
    <x v="22"/>
  </r>
  <r>
    <x v="101"/>
    <s v="Household Consumption Expenditure"/>
    <n v="1058"/>
    <x v="13"/>
  </r>
  <r>
    <x v="101"/>
    <s v="Household Consumption Expenditure"/>
    <n v="847"/>
    <x v="14"/>
  </r>
  <r>
    <x v="101"/>
    <s v="Household Consumption Expenditure"/>
    <n v="561"/>
    <x v="15"/>
  </r>
  <r>
    <x v="101"/>
    <s v="Household Consumption Expenditure"/>
    <n v="2840"/>
    <x v="16"/>
  </r>
  <r>
    <x v="101"/>
    <s v="Household Consumption Expenditure"/>
    <n v="1230"/>
    <x v="17"/>
  </r>
  <r>
    <x v="101"/>
    <s v="Household Consumption Expenditure"/>
    <n v="4825"/>
    <x v="18"/>
  </r>
  <r>
    <x v="101"/>
    <s v="Household Consumption Expenditure"/>
    <n v="35"/>
    <x v="23"/>
  </r>
  <r>
    <x v="101"/>
    <s v="Household Consumption Expenditure"/>
    <n v="1706"/>
    <x v="19"/>
  </r>
  <r>
    <x v="101"/>
    <s v="Household Consumption Expenditure"/>
    <n v="2238"/>
    <x v="20"/>
  </r>
  <r>
    <x v="101"/>
    <s v="Household Consumption Expenditure"/>
    <n v="1041"/>
    <x v="21"/>
  </r>
  <r>
    <x v="101"/>
    <s v="Household Consumption Expenditure"/>
    <n v="2653"/>
    <x v="22"/>
  </r>
  <r>
    <x v="102"/>
    <s v="Household Consumption Expenditure"/>
    <n v="1059"/>
    <x v="13"/>
  </r>
  <r>
    <x v="102"/>
    <s v="Household Consumption Expenditure"/>
    <n v="869"/>
    <x v="14"/>
  </r>
  <r>
    <x v="102"/>
    <s v="Household Consumption Expenditure"/>
    <n v="581"/>
    <x v="15"/>
  </r>
  <r>
    <x v="102"/>
    <s v="Household Consumption Expenditure"/>
    <n v="2825"/>
    <x v="16"/>
  </r>
  <r>
    <x v="102"/>
    <s v="Household Consumption Expenditure"/>
    <n v="1244"/>
    <x v="17"/>
  </r>
  <r>
    <x v="102"/>
    <s v="Household Consumption Expenditure"/>
    <n v="4943"/>
    <x v="18"/>
  </r>
  <r>
    <x v="102"/>
    <s v="Household Consumption Expenditure"/>
    <n v="46"/>
    <x v="23"/>
  </r>
  <r>
    <x v="102"/>
    <s v="Household Consumption Expenditure"/>
    <n v="1725"/>
    <x v="19"/>
  </r>
  <r>
    <x v="102"/>
    <s v="Household Consumption Expenditure"/>
    <n v="2254"/>
    <x v="20"/>
  </r>
  <r>
    <x v="102"/>
    <s v="Household Consumption Expenditure"/>
    <n v="1035"/>
    <x v="21"/>
  </r>
  <r>
    <x v="102"/>
    <s v="Household Consumption Expenditure"/>
    <n v="2681"/>
    <x v="22"/>
  </r>
  <r>
    <x v="103"/>
    <s v="Household Consumption Expenditure"/>
    <n v="1095"/>
    <x v="13"/>
  </r>
  <r>
    <x v="103"/>
    <s v="Household Consumption Expenditure"/>
    <n v="883"/>
    <x v="14"/>
  </r>
  <r>
    <x v="103"/>
    <s v="Household Consumption Expenditure"/>
    <n v="581"/>
    <x v="15"/>
  </r>
  <r>
    <x v="103"/>
    <s v="Household Consumption Expenditure"/>
    <n v="3000"/>
    <x v="16"/>
  </r>
  <r>
    <x v="103"/>
    <s v="Household Consumption Expenditure"/>
    <n v="1257"/>
    <x v="17"/>
  </r>
  <r>
    <x v="103"/>
    <s v="Household Consumption Expenditure"/>
    <n v="5071"/>
    <x v="18"/>
  </r>
  <r>
    <x v="103"/>
    <s v="Household Consumption Expenditure"/>
    <n v="57"/>
    <x v="23"/>
  </r>
  <r>
    <x v="103"/>
    <s v="Household Consumption Expenditure"/>
    <n v="1756"/>
    <x v="19"/>
  </r>
  <r>
    <x v="103"/>
    <s v="Household Consumption Expenditure"/>
    <n v="2285"/>
    <x v="20"/>
  </r>
  <r>
    <x v="103"/>
    <s v="Household Consumption Expenditure"/>
    <n v="1007"/>
    <x v="21"/>
  </r>
  <r>
    <x v="103"/>
    <s v="Household Consumption Expenditure"/>
    <n v="2794"/>
    <x v="22"/>
  </r>
  <r>
    <x v="104"/>
    <s v="Household Consumption Expenditure"/>
    <n v="1098"/>
    <x v="13"/>
  </r>
  <r>
    <x v="104"/>
    <s v="Household Consumption Expenditure"/>
    <n v="898"/>
    <x v="14"/>
  </r>
  <r>
    <x v="104"/>
    <s v="Household Consumption Expenditure"/>
    <n v="594"/>
    <x v="15"/>
  </r>
  <r>
    <x v="104"/>
    <s v="Household Consumption Expenditure"/>
    <n v="3063"/>
    <x v="16"/>
  </r>
  <r>
    <x v="104"/>
    <s v="Household Consumption Expenditure"/>
    <n v="1291"/>
    <x v="17"/>
  </r>
  <r>
    <x v="104"/>
    <s v="Household Consumption Expenditure"/>
    <n v="5156"/>
    <x v="18"/>
  </r>
  <r>
    <x v="104"/>
    <s v="Household Consumption Expenditure"/>
    <n v="74"/>
    <x v="23"/>
  </r>
  <r>
    <x v="104"/>
    <s v="Household Consumption Expenditure"/>
    <n v="1821"/>
    <x v="19"/>
  </r>
  <r>
    <x v="104"/>
    <s v="Household Consumption Expenditure"/>
    <n v="2330"/>
    <x v="20"/>
  </r>
  <r>
    <x v="104"/>
    <s v="Household Consumption Expenditure"/>
    <n v="1039"/>
    <x v="21"/>
  </r>
  <r>
    <x v="104"/>
    <s v="Household Consumption Expenditure"/>
    <n v="2895"/>
    <x v="22"/>
  </r>
  <r>
    <x v="105"/>
    <s v="Household Consumption Expenditure"/>
    <n v="1088"/>
    <x v="13"/>
  </r>
  <r>
    <x v="105"/>
    <s v="Household Consumption Expenditure"/>
    <n v="877"/>
    <x v="14"/>
  </r>
  <r>
    <x v="105"/>
    <s v="Household Consumption Expenditure"/>
    <n v="600"/>
    <x v="15"/>
  </r>
  <r>
    <x v="105"/>
    <s v="Household Consumption Expenditure"/>
    <n v="3022"/>
    <x v="16"/>
  </r>
  <r>
    <x v="105"/>
    <s v="Household Consumption Expenditure"/>
    <n v="1299"/>
    <x v="17"/>
  </r>
  <r>
    <x v="105"/>
    <s v="Household Consumption Expenditure"/>
    <n v="5239"/>
    <x v="18"/>
  </r>
  <r>
    <x v="105"/>
    <s v="Household Consumption Expenditure"/>
    <n v="109"/>
    <x v="23"/>
  </r>
  <r>
    <x v="105"/>
    <s v="Household Consumption Expenditure"/>
    <n v="1826"/>
    <x v="19"/>
  </r>
  <r>
    <x v="105"/>
    <s v="Household Consumption Expenditure"/>
    <n v="2318"/>
    <x v="20"/>
  </r>
  <r>
    <x v="105"/>
    <s v="Household Consumption Expenditure"/>
    <n v="1055"/>
    <x v="21"/>
  </r>
  <r>
    <x v="105"/>
    <s v="Household Consumption Expenditure"/>
    <n v="2866"/>
    <x v="22"/>
  </r>
  <r>
    <x v="106"/>
    <s v="Household Consumption Expenditure"/>
    <n v="1085"/>
    <x v="13"/>
  </r>
  <r>
    <x v="106"/>
    <s v="Household Consumption Expenditure"/>
    <n v="952"/>
    <x v="14"/>
  </r>
  <r>
    <x v="106"/>
    <s v="Household Consumption Expenditure"/>
    <n v="612"/>
    <x v="15"/>
  </r>
  <r>
    <x v="106"/>
    <s v="Household Consumption Expenditure"/>
    <n v="3058"/>
    <x v="16"/>
  </r>
  <r>
    <x v="106"/>
    <s v="Household Consumption Expenditure"/>
    <n v="1337"/>
    <x v="17"/>
  </r>
  <r>
    <x v="106"/>
    <s v="Household Consumption Expenditure"/>
    <n v="5341"/>
    <x v="18"/>
  </r>
  <r>
    <x v="106"/>
    <s v="Household Consumption Expenditure"/>
    <n v="131"/>
    <x v="23"/>
  </r>
  <r>
    <x v="106"/>
    <s v="Household Consumption Expenditure"/>
    <n v="1851"/>
    <x v="19"/>
  </r>
  <r>
    <x v="106"/>
    <s v="Household Consumption Expenditure"/>
    <n v="2402"/>
    <x v="20"/>
  </r>
  <r>
    <x v="106"/>
    <s v="Household Consumption Expenditure"/>
    <n v="1185"/>
    <x v="21"/>
  </r>
  <r>
    <x v="106"/>
    <s v="Household Consumption Expenditure"/>
    <n v="2940"/>
    <x v="22"/>
  </r>
  <r>
    <x v="107"/>
    <s v="Household Consumption Expenditure"/>
    <n v="1095"/>
    <x v="13"/>
  </r>
  <r>
    <x v="107"/>
    <s v="Household Consumption Expenditure"/>
    <n v="943"/>
    <x v="14"/>
  </r>
  <r>
    <x v="107"/>
    <s v="Household Consumption Expenditure"/>
    <n v="633"/>
    <x v="15"/>
  </r>
  <r>
    <x v="107"/>
    <s v="Household Consumption Expenditure"/>
    <n v="3065"/>
    <x v="16"/>
  </r>
  <r>
    <x v="107"/>
    <s v="Household Consumption Expenditure"/>
    <n v="1364"/>
    <x v="17"/>
  </r>
  <r>
    <x v="107"/>
    <s v="Household Consumption Expenditure"/>
    <n v="5412"/>
    <x v="18"/>
  </r>
  <r>
    <x v="107"/>
    <s v="Household Consumption Expenditure"/>
    <n v="158"/>
    <x v="23"/>
  </r>
  <r>
    <x v="107"/>
    <s v="Household Consumption Expenditure"/>
    <n v="1864"/>
    <x v="19"/>
  </r>
  <r>
    <x v="107"/>
    <s v="Household Consumption Expenditure"/>
    <n v="2380"/>
    <x v="20"/>
  </r>
  <r>
    <x v="107"/>
    <s v="Household Consumption Expenditure"/>
    <n v="1258"/>
    <x v="21"/>
  </r>
  <r>
    <x v="107"/>
    <s v="Household Consumption Expenditure"/>
    <n v="3037"/>
    <x v="22"/>
  </r>
  <r>
    <x v="108"/>
    <s v="Household Consumption Expenditure"/>
    <n v="1116"/>
    <x v="13"/>
  </r>
  <r>
    <x v="108"/>
    <s v="Household Consumption Expenditure"/>
    <n v="952"/>
    <x v="14"/>
  </r>
  <r>
    <x v="108"/>
    <s v="Household Consumption Expenditure"/>
    <n v="647"/>
    <x v="15"/>
  </r>
  <r>
    <x v="108"/>
    <s v="Household Consumption Expenditure"/>
    <n v="3108"/>
    <x v="16"/>
  </r>
  <r>
    <x v="108"/>
    <s v="Household Consumption Expenditure"/>
    <n v="1368"/>
    <x v="17"/>
  </r>
  <r>
    <x v="108"/>
    <s v="Household Consumption Expenditure"/>
    <n v="5486"/>
    <x v="18"/>
  </r>
  <r>
    <x v="108"/>
    <s v="Household Consumption Expenditure"/>
    <n v="180"/>
    <x v="23"/>
  </r>
  <r>
    <x v="108"/>
    <s v="Household Consumption Expenditure"/>
    <n v="1878"/>
    <x v="19"/>
  </r>
  <r>
    <x v="108"/>
    <s v="Household Consumption Expenditure"/>
    <n v="2402"/>
    <x v="20"/>
  </r>
  <r>
    <x v="108"/>
    <s v="Household Consumption Expenditure"/>
    <n v="1223"/>
    <x v="21"/>
  </r>
  <r>
    <x v="108"/>
    <s v="Household Consumption Expenditure"/>
    <n v="3035"/>
    <x v="22"/>
  </r>
  <r>
    <x v="109"/>
    <s v="Household Consumption Expenditure"/>
    <n v="1141"/>
    <x v="13"/>
  </r>
  <r>
    <x v="109"/>
    <s v="Household Consumption Expenditure"/>
    <n v="985"/>
    <x v="14"/>
  </r>
  <r>
    <x v="109"/>
    <s v="Household Consumption Expenditure"/>
    <n v="649"/>
    <x v="15"/>
  </r>
  <r>
    <x v="109"/>
    <s v="Household Consumption Expenditure"/>
    <n v="3152"/>
    <x v="16"/>
  </r>
  <r>
    <x v="109"/>
    <s v="Household Consumption Expenditure"/>
    <n v="1409"/>
    <x v="17"/>
  </r>
  <r>
    <x v="109"/>
    <s v="Household Consumption Expenditure"/>
    <n v="5597"/>
    <x v="18"/>
  </r>
  <r>
    <x v="109"/>
    <s v="Household Consumption Expenditure"/>
    <n v="179"/>
    <x v="23"/>
  </r>
  <r>
    <x v="109"/>
    <s v="Household Consumption Expenditure"/>
    <n v="1903"/>
    <x v="19"/>
  </r>
  <r>
    <x v="109"/>
    <s v="Household Consumption Expenditure"/>
    <n v="2464"/>
    <x v="20"/>
  </r>
  <r>
    <x v="109"/>
    <s v="Household Consumption Expenditure"/>
    <n v="1322"/>
    <x v="21"/>
  </r>
  <r>
    <x v="109"/>
    <s v="Household Consumption Expenditure"/>
    <n v="3159"/>
    <x v="22"/>
  </r>
  <r>
    <x v="110"/>
    <s v="Household Consumption Expenditure"/>
    <n v="1165"/>
    <x v="13"/>
  </r>
  <r>
    <x v="110"/>
    <s v="Household Consumption Expenditure"/>
    <n v="998"/>
    <x v="14"/>
  </r>
  <r>
    <x v="110"/>
    <s v="Household Consumption Expenditure"/>
    <n v="670"/>
    <x v="15"/>
  </r>
  <r>
    <x v="110"/>
    <s v="Household Consumption Expenditure"/>
    <n v="3221"/>
    <x v="16"/>
  </r>
  <r>
    <x v="110"/>
    <s v="Household Consumption Expenditure"/>
    <n v="1424"/>
    <x v="17"/>
  </r>
  <r>
    <x v="110"/>
    <s v="Household Consumption Expenditure"/>
    <n v="5639"/>
    <x v="18"/>
  </r>
  <r>
    <x v="110"/>
    <s v="Household Consumption Expenditure"/>
    <n v="194"/>
    <x v="23"/>
  </r>
  <r>
    <x v="110"/>
    <s v="Household Consumption Expenditure"/>
    <n v="1942"/>
    <x v="19"/>
  </r>
  <r>
    <x v="110"/>
    <s v="Household Consumption Expenditure"/>
    <n v="2442"/>
    <x v="20"/>
  </r>
  <r>
    <x v="110"/>
    <s v="Household Consumption Expenditure"/>
    <n v="1226"/>
    <x v="21"/>
  </r>
  <r>
    <x v="110"/>
    <s v="Household Consumption Expenditure"/>
    <n v="3215"/>
    <x v="22"/>
  </r>
  <r>
    <x v="111"/>
    <s v="Household Consumption Expenditure"/>
    <n v="1184"/>
    <x v="13"/>
  </r>
  <r>
    <x v="111"/>
    <s v="Household Consumption Expenditure"/>
    <n v="1038"/>
    <x v="14"/>
  </r>
  <r>
    <x v="111"/>
    <s v="Household Consumption Expenditure"/>
    <n v="686"/>
    <x v="15"/>
  </r>
  <r>
    <x v="111"/>
    <s v="Household Consumption Expenditure"/>
    <n v="3267"/>
    <x v="16"/>
  </r>
  <r>
    <x v="111"/>
    <s v="Household Consumption Expenditure"/>
    <n v="1436"/>
    <x v="17"/>
  </r>
  <r>
    <x v="111"/>
    <s v="Household Consumption Expenditure"/>
    <n v="5734"/>
    <x v="18"/>
  </r>
  <r>
    <x v="111"/>
    <s v="Household Consumption Expenditure"/>
    <n v="196"/>
    <x v="23"/>
  </r>
  <r>
    <x v="111"/>
    <s v="Household Consumption Expenditure"/>
    <n v="1968"/>
    <x v="19"/>
  </r>
  <r>
    <x v="111"/>
    <s v="Household Consumption Expenditure"/>
    <n v="2492"/>
    <x v="20"/>
  </r>
  <r>
    <x v="111"/>
    <s v="Household Consumption Expenditure"/>
    <n v="1340"/>
    <x v="21"/>
  </r>
  <r>
    <x v="111"/>
    <s v="Household Consumption Expenditure"/>
    <n v="3223"/>
    <x v="22"/>
  </r>
  <r>
    <x v="112"/>
    <s v="Household Consumption Expenditure"/>
    <n v="1223"/>
    <x v="13"/>
  </r>
  <r>
    <x v="112"/>
    <s v="Household Consumption Expenditure"/>
    <n v="1030"/>
    <x v="14"/>
  </r>
  <r>
    <x v="112"/>
    <s v="Household Consumption Expenditure"/>
    <n v="689"/>
    <x v="15"/>
  </r>
  <r>
    <x v="112"/>
    <s v="Household Consumption Expenditure"/>
    <n v="3386"/>
    <x v="16"/>
  </r>
  <r>
    <x v="112"/>
    <s v="Household Consumption Expenditure"/>
    <n v="1457"/>
    <x v="17"/>
  </r>
  <r>
    <x v="112"/>
    <s v="Household Consumption Expenditure"/>
    <n v="5835"/>
    <x v="18"/>
  </r>
  <r>
    <x v="112"/>
    <s v="Household Consumption Expenditure"/>
    <n v="213"/>
    <x v="23"/>
  </r>
  <r>
    <x v="112"/>
    <s v="Household Consumption Expenditure"/>
    <n v="2005"/>
    <x v="19"/>
  </r>
  <r>
    <x v="112"/>
    <s v="Household Consumption Expenditure"/>
    <n v="2476"/>
    <x v="20"/>
  </r>
  <r>
    <x v="112"/>
    <s v="Household Consumption Expenditure"/>
    <n v="1336"/>
    <x v="21"/>
  </r>
  <r>
    <x v="112"/>
    <s v="Household Consumption Expenditure"/>
    <n v="3273"/>
    <x v="22"/>
  </r>
  <r>
    <x v="113"/>
    <s v="Household Consumption Expenditure"/>
    <n v="1242"/>
    <x v="13"/>
  </r>
  <r>
    <x v="113"/>
    <s v="Household Consumption Expenditure"/>
    <n v="1035"/>
    <x v="14"/>
  </r>
  <r>
    <x v="113"/>
    <s v="Household Consumption Expenditure"/>
    <n v="686"/>
    <x v="15"/>
  </r>
  <r>
    <x v="113"/>
    <s v="Household Consumption Expenditure"/>
    <n v="3423"/>
    <x v="16"/>
  </r>
  <r>
    <x v="113"/>
    <s v="Household Consumption Expenditure"/>
    <n v="1468"/>
    <x v="17"/>
  </r>
  <r>
    <x v="113"/>
    <s v="Household Consumption Expenditure"/>
    <n v="5959"/>
    <x v="18"/>
  </r>
  <r>
    <x v="113"/>
    <s v="Household Consumption Expenditure"/>
    <n v="199"/>
    <x v="23"/>
  </r>
  <r>
    <x v="113"/>
    <s v="Household Consumption Expenditure"/>
    <n v="2037"/>
    <x v="19"/>
  </r>
  <r>
    <x v="113"/>
    <s v="Household Consumption Expenditure"/>
    <n v="2494"/>
    <x v="20"/>
  </r>
  <r>
    <x v="113"/>
    <s v="Household Consumption Expenditure"/>
    <n v="1326"/>
    <x v="21"/>
  </r>
  <r>
    <x v="113"/>
    <s v="Household Consumption Expenditure"/>
    <n v="3344"/>
    <x v="22"/>
  </r>
  <r>
    <x v="114"/>
    <s v="Household Consumption Expenditure"/>
    <n v="1263"/>
    <x v="13"/>
  </r>
  <r>
    <x v="114"/>
    <s v="Household Consumption Expenditure"/>
    <n v="1061"/>
    <x v="14"/>
  </r>
  <r>
    <x v="114"/>
    <s v="Household Consumption Expenditure"/>
    <n v="655"/>
    <x v="15"/>
  </r>
  <r>
    <x v="114"/>
    <s v="Household Consumption Expenditure"/>
    <n v="3431"/>
    <x v="16"/>
  </r>
  <r>
    <x v="114"/>
    <s v="Household Consumption Expenditure"/>
    <n v="1499"/>
    <x v="17"/>
  </r>
  <r>
    <x v="114"/>
    <s v="Household Consumption Expenditure"/>
    <n v="6050"/>
    <x v="18"/>
  </r>
  <r>
    <x v="114"/>
    <s v="Household Consumption Expenditure"/>
    <n v="165"/>
    <x v="23"/>
  </r>
  <r>
    <x v="114"/>
    <s v="Household Consumption Expenditure"/>
    <n v="2060"/>
    <x v="19"/>
  </r>
  <r>
    <x v="114"/>
    <s v="Household Consumption Expenditure"/>
    <n v="2562"/>
    <x v="20"/>
  </r>
  <r>
    <x v="114"/>
    <s v="Household Consumption Expenditure"/>
    <n v="1400"/>
    <x v="21"/>
  </r>
  <r>
    <x v="114"/>
    <s v="Household Consumption Expenditure"/>
    <n v="3380"/>
    <x v="22"/>
  </r>
  <r>
    <x v="115"/>
    <s v="Household Consumption Expenditure"/>
    <n v="1277"/>
    <x v="13"/>
  </r>
  <r>
    <x v="115"/>
    <s v="Household Consumption Expenditure"/>
    <n v="1045"/>
    <x v="14"/>
  </r>
  <r>
    <x v="115"/>
    <s v="Household Consumption Expenditure"/>
    <n v="785"/>
    <x v="15"/>
  </r>
  <r>
    <x v="115"/>
    <s v="Household Consumption Expenditure"/>
    <n v="3521"/>
    <x v="16"/>
  </r>
  <r>
    <x v="115"/>
    <s v="Household Consumption Expenditure"/>
    <n v="1544"/>
    <x v="17"/>
  </r>
  <r>
    <x v="115"/>
    <s v="Household Consumption Expenditure"/>
    <n v="6139"/>
    <x v="18"/>
  </r>
  <r>
    <x v="115"/>
    <s v="Household Consumption Expenditure"/>
    <n v="156"/>
    <x v="23"/>
  </r>
  <r>
    <x v="115"/>
    <s v="Household Consumption Expenditure"/>
    <n v="2109"/>
    <x v="19"/>
  </r>
  <r>
    <x v="115"/>
    <s v="Household Consumption Expenditure"/>
    <n v="2574"/>
    <x v="20"/>
  </r>
  <r>
    <x v="115"/>
    <s v="Household Consumption Expenditure"/>
    <n v="1431"/>
    <x v="21"/>
  </r>
  <r>
    <x v="115"/>
    <s v="Household Consumption Expenditure"/>
    <n v="3336"/>
    <x v="22"/>
  </r>
  <r>
    <x v="116"/>
    <s v="Household Consumption Expenditure"/>
    <n v="1274"/>
    <x v="13"/>
  </r>
  <r>
    <x v="116"/>
    <s v="Household Consumption Expenditure"/>
    <n v="1093"/>
    <x v="14"/>
  </r>
  <r>
    <x v="116"/>
    <s v="Household Consumption Expenditure"/>
    <n v="787"/>
    <x v="15"/>
  </r>
  <r>
    <x v="116"/>
    <s v="Household Consumption Expenditure"/>
    <n v="3487"/>
    <x v="16"/>
  </r>
  <r>
    <x v="116"/>
    <s v="Household Consumption Expenditure"/>
    <n v="1602"/>
    <x v="17"/>
  </r>
  <r>
    <x v="116"/>
    <s v="Household Consumption Expenditure"/>
    <n v="6260"/>
    <x v="18"/>
  </r>
  <r>
    <x v="116"/>
    <s v="Household Consumption Expenditure"/>
    <n v="150"/>
    <x v="23"/>
  </r>
  <r>
    <x v="116"/>
    <s v="Household Consumption Expenditure"/>
    <n v="2149"/>
    <x v="19"/>
  </r>
  <r>
    <x v="116"/>
    <s v="Household Consumption Expenditure"/>
    <n v="2638"/>
    <x v="20"/>
  </r>
  <r>
    <x v="116"/>
    <s v="Household Consumption Expenditure"/>
    <n v="1470"/>
    <x v="21"/>
  </r>
  <r>
    <x v="116"/>
    <s v="Household Consumption Expenditure"/>
    <n v="3380"/>
    <x v="22"/>
  </r>
  <r>
    <x v="117"/>
    <s v="Household Consumption Expenditure"/>
    <n v="1292"/>
    <x v="13"/>
  </r>
  <r>
    <x v="117"/>
    <s v="Household Consumption Expenditure"/>
    <n v="1096"/>
    <x v="14"/>
  </r>
  <r>
    <x v="117"/>
    <s v="Household Consumption Expenditure"/>
    <n v="779"/>
    <x v="15"/>
  </r>
  <r>
    <x v="117"/>
    <s v="Household Consumption Expenditure"/>
    <n v="3563"/>
    <x v="16"/>
  </r>
  <r>
    <x v="117"/>
    <s v="Household Consumption Expenditure"/>
    <n v="1599"/>
    <x v="17"/>
  </r>
  <r>
    <x v="117"/>
    <s v="Household Consumption Expenditure"/>
    <n v="6344"/>
    <x v="18"/>
  </r>
  <r>
    <x v="117"/>
    <s v="Household Consumption Expenditure"/>
    <n v="157"/>
    <x v="23"/>
  </r>
  <r>
    <x v="117"/>
    <s v="Household Consumption Expenditure"/>
    <n v="2156"/>
    <x v="19"/>
  </r>
  <r>
    <x v="117"/>
    <s v="Household Consumption Expenditure"/>
    <n v="2616"/>
    <x v="20"/>
  </r>
  <r>
    <x v="117"/>
    <s v="Household Consumption Expenditure"/>
    <n v="1470"/>
    <x v="21"/>
  </r>
  <r>
    <x v="117"/>
    <s v="Household Consumption Expenditure"/>
    <n v="3454"/>
    <x v="22"/>
  </r>
  <r>
    <x v="118"/>
    <s v="Household Consumption Expenditure"/>
    <n v="1298"/>
    <x v="13"/>
  </r>
  <r>
    <x v="118"/>
    <s v="Household Consumption Expenditure"/>
    <n v="1071"/>
    <x v="14"/>
  </r>
  <r>
    <x v="118"/>
    <s v="Household Consumption Expenditure"/>
    <n v="789"/>
    <x v="15"/>
  </r>
  <r>
    <x v="118"/>
    <s v="Household Consumption Expenditure"/>
    <n v="3618"/>
    <x v="16"/>
  </r>
  <r>
    <x v="118"/>
    <s v="Household Consumption Expenditure"/>
    <n v="1578"/>
    <x v="17"/>
  </r>
  <r>
    <x v="118"/>
    <s v="Household Consumption Expenditure"/>
    <n v="6456"/>
    <x v="18"/>
  </r>
  <r>
    <x v="118"/>
    <s v="Household Consumption Expenditure"/>
    <n v="182"/>
    <x v="23"/>
  </r>
  <r>
    <x v="118"/>
    <s v="Household Consumption Expenditure"/>
    <n v="2178"/>
    <x v="19"/>
  </r>
  <r>
    <x v="118"/>
    <s v="Household Consumption Expenditure"/>
    <n v="2605"/>
    <x v="20"/>
  </r>
  <r>
    <x v="118"/>
    <s v="Household Consumption Expenditure"/>
    <n v="1485"/>
    <x v="21"/>
  </r>
  <r>
    <x v="118"/>
    <s v="Household Consumption Expenditure"/>
    <n v="3476"/>
    <x v="22"/>
  </r>
  <r>
    <x v="119"/>
    <s v="Household Consumption Expenditure"/>
    <n v="1322"/>
    <x v="13"/>
  </r>
  <r>
    <x v="119"/>
    <s v="Household Consumption Expenditure"/>
    <n v="1101"/>
    <x v="14"/>
  </r>
  <r>
    <x v="119"/>
    <s v="Household Consumption Expenditure"/>
    <n v="788"/>
    <x v="15"/>
  </r>
  <r>
    <x v="119"/>
    <s v="Household Consumption Expenditure"/>
    <n v="3692"/>
    <x v="16"/>
  </r>
  <r>
    <x v="119"/>
    <s v="Household Consumption Expenditure"/>
    <n v="1546"/>
    <x v="17"/>
  </r>
  <r>
    <x v="119"/>
    <s v="Household Consumption Expenditure"/>
    <n v="6566"/>
    <x v="18"/>
  </r>
  <r>
    <x v="119"/>
    <s v="Household Consumption Expenditure"/>
    <n v="174"/>
    <x v="23"/>
  </r>
  <r>
    <x v="119"/>
    <s v="Household Consumption Expenditure"/>
    <n v="2174"/>
    <x v="19"/>
  </r>
  <r>
    <x v="119"/>
    <s v="Household Consumption Expenditure"/>
    <n v="2598"/>
    <x v="20"/>
  </r>
  <r>
    <x v="119"/>
    <s v="Household Consumption Expenditure"/>
    <n v="1504"/>
    <x v="21"/>
  </r>
  <r>
    <x v="119"/>
    <s v="Household Consumption Expenditure"/>
    <n v="3620"/>
    <x v="22"/>
  </r>
  <r>
    <x v="120"/>
    <s v="Household Consumption Expenditure"/>
    <n v="1349"/>
    <x v="13"/>
  </r>
  <r>
    <x v="120"/>
    <s v="Household Consumption Expenditure"/>
    <n v="1107"/>
    <x v="14"/>
  </r>
  <r>
    <x v="120"/>
    <s v="Household Consumption Expenditure"/>
    <n v="811"/>
    <x v="15"/>
  </r>
  <r>
    <x v="120"/>
    <s v="Household Consumption Expenditure"/>
    <n v="3835"/>
    <x v="16"/>
  </r>
  <r>
    <x v="120"/>
    <s v="Household Consumption Expenditure"/>
    <n v="1545"/>
    <x v="17"/>
  </r>
  <r>
    <x v="120"/>
    <s v="Household Consumption Expenditure"/>
    <n v="6684"/>
    <x v="18"/>
  </r>
  <r>
    <x v="120"/>
    <s v="Household Consumption Expenditure"/>
    <n v="174"/>
    <x v="23"/>
  </r>
  <r>
    <x v="120"/>
    <s v="Household Consumption Expenditure"/>
    <n v="2156"/>
    <x v="19"/>
  </r>
  <r>
    <x v="120"/>
    <s v="Household Consumption Expenditure"/>
    <n v="2696"/>
    <x v="20"/>
  </r>
  <r>
    <x v="120"/>
    <s v="Household Consumption Expenditure"/>
    <n v="1560"/>
    <x v="21"/>
  </r>
  <r>
    <x v="120"/>
    <s v="Household Consumption Expenditure"/>
    <n v="3724"/>
    <x v="22"/>
  </r>
  <r>
    <x v="121"/>
    <s v="Household Consumption Expenditure"/>
    <n v="1325"/>
    <x v="13"/>
  </r>
  <r>
    <x v="121"/>
    <s v="Household Consumption Expenditure"/>
    <n v="1073"/>
    <x v="14"/>
  </r>
  <r>
    <x v="121"/>
    <s v="Household Consumption Expenditure"/>
    <n v="837"/>
    <x v="15"/>
  </r>
  <r>
    <x v="121"/>
    <s v="Household Consumption Expenditure"/>
    <n v="3779"/>
    <x v="16"/>
  </r>
  <r>
    <x v="121"/>
    <s v="Household Consumption Expenditure"/>
    <n v="1531"/>
    <x v="17"/>
  </r>
  <r>
    <x v="121"/>
    <s v="Household Consumption Expenditure"/>
    <n v="6786"/>
    <x v="18"/>
  </r>
  <r>
    <x v="121"/>
    <s v="Household Consumption Expenditure"/>
    <n v="183"/>
    <x v="23"/>
  </r>
  <r>
    <x v="121"/>
    <s v="Household Consumption Expenditure"/>
    <n v="2177"/>
    <x v="19"/>
  </r>
  <r>
    <x v="121"/>
    <s v="Household Consumption Expenditure"/>
    <n v="2658"/>
    <x v="20"/>
  </r>
  <r>
    <x v="121"/>
    <s v="Household Consumption Expenditure"/>
    <n v="1499"/>
    <x v="21"/>
  </r>
  <r>
    <x v="121"/>
    <s v="Household Consumption Expenditure"/>
    <n v="3638"/>
    <x v="22"/>
  </r>
  <r>
    <x v="122"/>
    <s v="Household Consumption Expenditure"/>
    <n v="1344"/>
    <x v="13"/>
  </r>
  <r>
    <x v="122"/>
    <s v="Household Consumption Expenditure"/>
    <n v="1126"/>
    <x v="14"/>
  </r>
  <r>
    <x v="122"/>
    <s v="Household Consumption Expenditure"/>
    <n v="839"/>
    <x v="15"/>
  </r>
  <r>
    <x v="122"/>
    <s v="Household Consumption Expenditure"/>
    <n v="3833"/>
    <x v="16"/>
  </r>
  <r>
    <x v="122"/>
    <s v="Household Consumption Expenditure"/>
    <n v="1520"/>
    <x v="17"/>
  </r>
  <r>
    <x v="122"/>
    <s v="Household Consumption Expenditure"/>
    <n v="6910"/>
    <x v="18"/>
  </r>
  <r>
    <x v="122"/>
    <s v="Household Consumption Expenditure"/>
    <n v="182"/>
    <x v="23"/>
  </r>
  <r>
    <x v="122"/>
    <s v="Household Consumption Expenditure"/>
    <n v="2217"/>
    <x v="19"/>
  </r>
  <r>
    <x v="122"/>
    <s v="Household Consumption Expenditure"/>
    <n v="2679"/>
    <x v="20"/>
  </r>
  <r>
    <x v="122"/>
    <s v="Household Consumption Expenditure"/>
    <n v="1598"/>
    <x v="21"/>
  </r>
  <r>
    <x v="122"/>
    <s v="Household Consumption Expenditure"/>
    <n v="3661"/>
    <x v="22"/>
  </r>
  <r>
    <x v="123"/>
    <s v="Household Consumption Expenditure"/>
    <n v="1331"/>
    <x v="13"/>
  </r>
  <r>
    <x v="123"/>
    <s v="Household Consumption Expenditure"/>
    <n v="1139"/>
    <x v="14"/>
  </r>
  <r>
    <x v="123"/>
    <s v="Household Consumption Expenditure"/>
    <n v="856"/>
    <x v="15"/>
  </r>
  <r>
    <x v="123"/>
    <s v="Household Consumption Expenditure"/>
    <n v="3901"/>
    <x v="16"/>
  </r>
  <r>
    <x v="123"/>
    <s v="Household Consumption Expenditure"/>
    <n v="1515"/>
    <x v="17"/>
  </r>
  <r>
    <x v="123"/>
    <s v="Household Consumption Expenditure"/>
    <n v="6992"/>
    <x v="18"/>
  </r>
  <r>
    <x v="123"/>
    <s v="Household Consumption Expenditure"/>
    <n v="205"/>
    <x v="23"/>
  </r>
  <r>
    <x v="123"/>
    <s v="Household Consumption Expenditure"/>
    <n v="2283"/>
    <x v="19"/>
  </r>
  <r>
    <x v="123"/>
    <s v="Household Consumption Expenditure"/>
    <n v="2715"/>
    <x v="20"/>
  </r>
  <r>
    <x v="123"/>
    <s v="Household Consumption Expenditure"/>
    <n v="1586"/>
    <x v="21"/>
  </r>
  <r>
    <x v="123"/>
    <s v="Household Consumption Expenditure"/>
    <n v="3497"/>
    <x v="22"/>
  </r>
  <r>
    <x v="124"/>
    <s v="Household Consumption Expenditure"/>
    <n v="1338"/>
    <x v="13"/>
  </r>
  <r>
    <x v="124"/>
    <s v="Household Consumption Expenditure"/>
    <n v="1128"/>
    <x v="14"/>
  </r>
  <r>
    <x v="124"/>
    <s v="Household Consumption Expenditure"/>
    <n v="843"/>
    <x v="15"/>
  </r>
  <r>
    <x v="124"/>
    <s v="Household Consumption Expenditure"/>
    <n v="3983"/>
    <x v="16"/>
  </r>
  <r>
    <x v="124"/>
    <s v="Household Consumption Expenditure"/>
    <n v="1469"/>
    <x v="17"/>
  </r>
  <r>
    <x v="124"/>
    <s v="Household Consumption Expenditure"/>
    <n v="7049"/>
    <x v="18"/>
  </r>
  <r>
    <x v="124"/>
    <s v="Household Consumption Expenditure"/>
    <n v="186"/>
    <x v="23"/>
  </r>
  <r>
    <x v="124"/>
    <s v="Household Consumption Expenditure"/>
    <n v="2386"/>
    <x v="19"/>
  </r>
  <r>
    <x v="124"/>
    <s v="Household Consumption Expenditure"/>
    <n v="2612"/>
    <x v="20"/>
  </r>
  <r>
    <x v="124"/>
    <s v="Household Consumption Expenditure"/>
    <n v="1421"/>
    <x v="21"/>
  </r>
  <r>
    <x v="124"/>
    <s v="Household Consumption Expenditure"/>
    <n v="3222"/>
    <x v="22"/>
  </r>
  <r>
    <x v="125"/>
    <s v="Household Consumption Expenditure"/>
    <n v="1374"/>
    <x v="13"/>
  </r>
  <r>
    <x v="125"/>
    <s v="Household Consumption Expenditure"/>
    <n v="1151"/>
    <x v="14"/>
  </r>
  <r>
    <x v="125"/>
    <s v="Household Consumption Expenditure"/>
    <n v="864"/>
    <x v="15"/>
  </r>
  <r>
    <x v="125"/>
    <s v="Household Consumption Expenditure"/>
    <n v="4145"/>
    <x v="16"/>
  </r>
  <r>
    <x v="125"/>
    <s v="Household Consumption Expenditure"/>
    <n v="1483"/>
    <x v="17"/>
  </r>
  <r>
    <x v="125"/>
    <s v="Household Consumption Expenditure"/>
    <n v="7143"/>
    <x v="18"/>
  </r>
  <r>
    <x v="125"/>
    <s v="Household Consumption Expenditure"/>
    <n v="157"/>
    <x v="23"/>
  </r>
  <r>
    <x v="125"/>
    <s v="Household Consumption Expenditure"/>
    <n v="2501"/>
    <x v="19"/>
  </r>
  <r>
    <x v="125"/>
    <s v="Household Consumption Expenditure"/>
    <n v="2586"/>
    <x v="20"/>
  </r>
  <r>
    <x v="125"/>
    <s v="Household Consumption Expenditure"/>
    <n v="1575"/>
    <x v="21"/>
  </r>
  <r>
    <x v="125"/>
    <s v="Household Consumption Expenditure"/>
    <n v="3218"/>
    <x v="22"/>
  </r>
  <r>
    <x v="126"/>
    <s v="Household Consumption Expenditure"/>
    <n v="1398"/>
    <x v="13"/>
  </r>
  <r>
    <x v="126"/>
    <s v="Household Consumption Expenditure"/>
    <n v="1155"/>
    <x v="14"/>
  </r>
  <r>
    <x v="126"/>
    <s v="Household Consumption Expenditure"/>
    <n v="872"/>
    <x v="15"/>
  </r>
  <r>
    <x v="126"/>
    <s v="Household Consumption Expenditure"/>
    <n v="4227"/>
    <x v="16"/>
  </r>
  <r>
    <x v="126"/>
    <s v="Household Consumption Expenditure"/>
    <n v="1512"/>
    <x v="17"/>
  </r>
  <r>
    <x v="126"/>
    <s v="Household Consumption Expenditure"/>
    <n v="7175"/>
    <x v="18"/>
  </r>
  <r>
    <x v="126"/>
    <s v="Household Consumption Expenditure"/>
    <n v="141"/>
    <x v="23"/>
  </r>
  <r>
    <x v="126"/>
    <s v="Household Consumption Expenditure"/>
    <n v="2535"/>
    <x v="19"/>
  </r>
  <r>
    <x v="126"/>
    <s v="Household Consumption Expenditure"/>
    <n v="2582"/>
    <x v="20"/>
  </r>
  <r>
    <x v="126"/>
    <s v="Household Consumption Expenditure"/>
    <n v="1496"/>
    <x v="21"/>
  </r>
  <r>
    <x v="126"/>
    <s v="Household Consumption Expenditure"/>
    <n v="3335"/>
    <x v="22"/>
  </r>
  <r>
    <x v="127"/>
    <s v="Household Consumption Expenditure"/>
    <n v="1398"/>
    <x v="13"/>
  </r>
  <r>
    <x v="127"/>
    <s v="Household Consumption Expenditure"/>
    <n v="1166"/>
    <x v="14"/>
  </r>
  <r>
    <x v="127"/>
    <s v="Household Consumption Expenditure"/>
    <n v="872"/>
    <x v="15"/>
  </r>
  <r>
    <x v="127"/>
    <s v="Household Consumption Expenditure"/>
    <n v="4107"/>
    <x v="16"/>
  </r>
  <r>
    <x v="127"/>
    <s v="Household Consumption Expenditure"/>
    <n v="1523"/>
    <x v="17"/>
  </r>
  <r>
    <x v="127"/>
    <s v="Household Consumption Expenditure"/>
    <n v="7257"/>
    <x v="18"/>
  </r>
  <r>
    <x v="127"/>
    <s v="Household Consumption Expenditure"/>
    <n v="132"/>
    <x v="23"/>
  </r>
  <r>
    <x v="127"/>
    <s v="Household Consumption Expenditure"/>
    <n v="2546"/>
    <x v="19"/>
  </r>
  <r>
    <x v="127"/>
    <s v="Household Consumption Expenditure"/>
    <n v="2629"/>
    <x v="20"/>
  </r>
  <r>
    <x v="127"/>
    <s v="Household Consumption Expenditure"/>
    <n v="1558"/>
    <x v="21"/>
  </r>
  <r>
    <x v="127"/>
    <s v="Household Consumption Expenditure"/>
    <n v="3485"/>
    <x v="22"/>
  </r>
  <r>
    <x v="128"/>
    <s v="Household Consumption Expenditure"/>
    <n v="1399"/>
    <x v="13"/>
  </r>
  <r>
    <x v="128"/>
    <s v="Household Consumption Expenditure"/>
    <n v="1194"/>
    <x v="14"/>
  </r>
  <r>
    <x v="128"/>
    <s v="Household Consumption Expenditure"/>
    <n v="892"/>
    <x v="15"/>
  </r>
  <r>
    <x v="128"/>
    <s v="Household Consumption Expenditure"/>
    <n v="4088"/>
    <x v="16"/>
  </r>
  <r>
    <x v="128"/>
    <s v="Household Consumption Expenditure"/>
    <n v="1528"/>
    <x v="17"/>
  </r>
  <r>
    <x v="128"/>
    <s v="Household Consumption Expenditure"/>
    <n v="7339"/>
    <x v="18"/>
  </r>
  <r>
    <x v="128"/>
    <s v="Household Consumption Expenditure"/>
    <n v="133"/>
    <x v="23"/>
  </r>
  <r>
    <x v="128"/>
    <s v="Household Consumption Expenditure"/>
    <n v="2578"/>
    <x v="19"/>
  </r>
  <r>
    <x v="128"/>
    <s v="Household Consumption Expenditure"/>
    <n v="2631"/>
    <x v="20"/>
  </r>
  <r>
    <x v="128"/>
    <s v="Household Consumption Expenditure"/>
    <n v="1592"/>
    <x v="21"/>
  </r>
  <r>
    <x v="128"/>
    <s v="Household Consumption Expenditure"/>
    <n v="3728"/>
    <x v="22"/>
  </r>
  <r>
    <x v="129"/>
    <s v="Household Consumption Expenditure"/>
    <n v="1421"/>
    <x v="13"/>
  </r>
  <r>
    <x v="129"/>
    <s v="Household Consumption Expenditure"/>
    <n v="1222"/>
    <x v="14"/>
  </r>
  <r>
    <x v="129"/>
    <s v="Household Consumption Expenditure"/>
    <n v="921"/>
    <x v="15"/>
  </r>
  <r>
    <x v="129"/>
    <s v="Household Consumption Expenditure"/>
    <n v="4137"/>
    <x v="16"/>
  </r>
  <r>
    <x v="129"/>
    <s v="Household Consumption Expenditure"/>
    <n v="1538"/>
    <x v="17"/>
  </r>
  <r>
    <x v="129"/>
    <s v="Household Consumption Expenditure"/>
    <n v="7421"/>
    <x v="18"/>
  </r>
  <r>
    <x v="129"/>
    <s v="Household Consumption Expenditure"/>
    <n v="130"/>
    <x v="23"/>
  </r>
  <r>
    <x v="129"/>
    <s v="Household Consumption Expenditure"/>
    <n v="2531"/>
    <x v="19"/>
  </r>
  <r>
    <x v="129"/>
    <s v="Household Consumption Expenditure"/>
    <n v="2608"/>
    <x v="20"/>
  </r>
  <r>
    <x v="129"/>
    <s v="Household Consumption Expenditure"/>
    <n v="1594"/>
    <x v="21"/>
  </r>
  <r>
    <x v="129"/>
    <s v="Household Consumption Expenditure"/>
    <n v="3682"/>
    <x v="22"/>
  </r>
  <r>
    <x v="130"/>
    <s v="Household Consumption Expenditure"/>
    <n v="1427"/>
    <x v="13"/>
  </r>
  <r>
    <x v="130"/>
    <s v="Household Consumption Expenditure"/>
    <n v="1220"/>
    <x v="14"/>
  </r>
  <r>
    <x v="130"/>
    <s v="Household Consumption Expenditure"/>
    <n v="960"/>
    <x v="15"/>
  </r>
  <r>
    <x v="130"/>
    <s v="Household Consumption Expenditure"/>
    <n v="4187"/>
    <x v="16"/>
  </r>
  <r>
    <x v="130"/>
    <s v="Household Consumption Expenditure"/>
    <n v="1564"/>
    <x v="17"/>
  </r>
  <r>
    <x v="130"/>
    <s v="Household Consumption Expenditure"/>
    <n v="7527"/>
    <x v="18"/>
  </r>
  <r>
    <x v="130"/>
    <s v="Household Consumption Expenditure"/>
    <n v="142"/>
    <x v="23"/>
  </r>
  <r>
    <x v="130"/>
    <s v="Household Consumption Expenditure"/>
    <n v="2525"/>
    <x v="19"/>
  </r>
  <r>
    <x v="130"/>
    <s v="Household Consumption Expenditure"/>
    <n v="2594"/>
    <x v="20"/>
  </r>
  <r>
    <x v="130"/>
    <s v="Household Consumption Expenditure"/>
    <n v="1603"/>
    <x v="21"/>
  </r>
  <r>
    <x v="130"/>
    <s v="Household Consumption Expenditure"/>
    <n v="3694"/>
    <x v="22"/>
  </r>
  <r>
    <x v="131"/>
    <s v="Household Consumption Expenditure"/>
    <n v="1477"/>
    <x v="13"/>
  </r>
  <r>
    <x v="131"/>
    <s v="Household Consumption Expenditure"/>
    <n v="1220"/>
    <x v="14"/>
  </r>
  <r>
    <x v="131"/>
    <s v="Household Consumption Expenditure"/>
    <n v="988"/>
    <x v="15"/>
  </r>
  <r>
    <x v="131"/>
    <s v="Household Consumption Expenditure"/>
    <n v="4352"/>
    <x v="16"/>
  </r>
  <r>
    <x v="131"/>
    <s v="Household Consumption Expenditure"/>
    <n v="1512"/>
    <x v="17"/>
  </r>
  <r>
    <x v="131"/>
    <s v="Household Consumption Expenditure"/>
    <n v="7616"/>
    <x v="18"/>
  </r>
  <r>
    <x v="131"/>
    <s v="Household Consumption Expenditure"/>
    <n v="134"/>
    <x v="23"/>
  </r>
  <r>
    <x v="131"/>
    <s v="Household Consumption Expenditure"/>
    <n v="2552"/>
    <x v="19"/>
  </r>
  <r>
    <x v="131"/>
    <s v="Household Consumption Expenditure"/>
    <n v="2615"/>
    <x v="20"/>
  </r>
  <r>
    <x v="131"/>
    <s v="Household Consumption Expenditure"/>
    <n v="1660"/>
    <x v="21"/>
  </r>
  <r>
    <x v="131"/>
    <s v="Household Consumption Expenditure"/>
    <n v="3746"/>
    <x v="22"/>
  </r>
  <r>
    <x v="132"/>
    <s v="Household Consumption Expenditure"/>
    <n v="1482"/>
    <x v="13"/>
  </r>
  <r>
    <x v="132"/>
    <s v="Household Consumption Expenditure"/>
    <n v="1213"/>
    <x v="14"/>
  </r>
  <r>
    <x v="132"/>
    <s v="Household Consumption Expenditure"/>
    <n v="1016"/>
    <x v="15"/>
  </r>
  <r>
    <x v="132"/>
    <s v="Household Consumption Expenditure"/>
    <n v="4411"/>
    <x v="16"/>
  </r>
  <r>
    <x v="132"/>
    <s v="Household Consumption Expenditure"/>
    <n v="1557"/>
    <x v="17"/>
  </r>
  <r>
    <x v="132"/>
    <s v="Household Consumption Expenditure"/>
    <n v="7712"/>
    <x v="18"/>
  </r>
  <r>
    <x v="132"/>
    <s v="Household Consumption Expenditure"/>
    <n v="149"/>
    <x v="23"/>
  </r>
  <r>
    <x v="132"/>
    <s v="Household Consumption Expenditure"/>
    <n v="2589"/>
    <x v="19"/>
  </r>
  <r>
    <x v="132"/>
    <s v="Household Consumption Expenditure"/>
    <n v="2678"/>
    <x v="20"/>
  </r>
  <r>
    <x v="132"/>
    <s v="Household Consumption Expenditure"/>
    <n v="1704"/>
    <x v="21"/>
  </r>
  <r>
    <x v="132"/>
    <s v="Household Consumption Expenditure"/>
    <n v="3822"/>
    <x v="22"/>
  </r>
  <r>
    <x v="133"/>
    <s v="Household Consumption Expenditure"/>
    <n v="1474"/>
    <x v="13"/>
  </r>
  <r>
    <x v="133"/>
    <s v="Household Consumption Expenditure"/>
    <n v="1221"/>
    <x v="14"/>
  </r>
  <r>
    <x v="133"/>
    <s v="Household Consumption Expenditure"/>
    <n v="1006"/>
    <x v="15"/>
  </r>
  <r>
    <x v="133"/>
    <s v="Household Consumption Expenditure"/>
    <n v="4432"/>
    <x v="16"/>
  </r>
  <r>
    <x v="133"/>
    <s v="Household Consumption Expenditure"/>
    <n v="1579"/>
    <x v="17"/>
  </r>
  <r>
    <x v="133"/>
    <s v="Household Consumption Expenditure"/>
    <n v="7794"/>
    <x v="18"/>
  </r>
  <r>
    <x v="133"/>
    <s v="Household Consumption Expenditure"/>
    <n v="159"/>
    <x v="23"/>
  </r>
  <r>
    <x v="133"/>
    <s v="Household Consumption Expenditure"/>
    <n v="2662"/>
    <x v="19"/>
  </r>
  <r>
    <x v="133"/>
    <s v="Household Consumption Expenditure"/>
    <n v="2821"/>
    <x v="20"/>
  </r>
  <r>
    <x v="133"/>
    <s v="Household Consumption Expenditure"/>
    <n v="1738"/>
    <x v="21"/>
  </r>
  <r>
    <x v="133"/>
    <s v="Household Consumption Expenditure"/>
    <n v="3952"/>
    <x v="22"/>
  </r>
  <r>
    <x v="134"/>
    <s v="Household Consumption Expenditure"/>
    <n v="1495"/>
    <x v="13"/>
  </r>
  <r>
    <x v="134"/>
    <s v="Household Consumption Expenditure"/>
    <n v="1253"/>
    <x v="14"/>
  </r>
  <r>
    <x v="134"/>
    <s v="Household Consumption Expenditure"/>
    <n v="984"/>
    <x v="15"/>
  </r>
  <r>
    <x v="134"/>
    <s v="Household Consumption Expenditure"/>
    <n v="4497"/>
    <x v="16"/>
  </r>
  <r>
    <x v="134"/>
    <s v="Household Consumption Expenditure"/>
    <n v="1580"/>
    <x v="17"/>
  </r>
  <r>
    <x v="134"/>
    <s v="Household Consumption Expenditure"/>
    <n v="7881"/>
    <x v="18"/>
  </r>
  <r>
    <x v="134"/>
    <s v="Household Consumption Expenditure"/>
    <n v="175"/>
    <x v="23"/>
  </r>
  <r>
    <x v="134"/>
    <s v="Household Consumption Expenditure"/>
    <n v="2738"/>
    <x v="19"/>
  </r>
  <r>
    <x v="134"/>
    <s v="Household Consumption Expenditure"/>
    <n v="2870"/>
    <x v="20"/>
  </r>
  <r>
    <x v="134"/>
    <s v="Household Consumption Expenditure"/>
    <n v="1805"/>
    <x v="21"/>
  </r>
  <r>
    <x v="134"/>
    <s v="Household Consumption Expenditure"/>
    <n v="3942"/>
    <x v="22"/>
  </r>
  <r>
    <x v="135"/>
    <s v="Household Consumption Expenditure"/>
    <n v="1485"/>
    <x v="13"/>
  </r>
  <r>
    <x v="135"/>
    <s v="Household Consumption Expenditure"/>
    <n v="1248"/>
    <x v="14"/>
  </r>
  <r>
    <x v="135"/>
    <s v="Household Consumption Expenditure"/>
    <n v="978"/>
    <x v="15"/>
  </r>
  <r>
    <x v="135"/>
    <s v="Household Consumption Expenditure"/>
    <n v="4518"/>
    <x v="16"/>
  </r>
  <r>
    <x v="135"/>
    <s v="Household Consumption Expenditure"/>
    <n v="1624"/>
    <x v="17"/>
  </r>
  <r>
    <x v="135"/>
    <s v="Household Consumption Expenditure"/>
    <n v="7926"/>
    <x v="18"/>
  </r>
  <r>
    <x v="135"/>
    <s v="Household Consumption Expenditure"/>
    <n v="199"/>
    <x v="23"/>
  </r>
  <r>
    <x v="135"/>
    <s v="Household Consumption Expenditure"/>
    <n v="2795"/>
    <x v="19"/>
  </r>
  <r>
    <x v="135"/>
    <s v="Household Consumption Expenditure"/>
    <n v="2817"/>
    <x v="20"/>
  </r>
  <r>
    <x v="135"/>
    <s v="Household Consumption Expenditure"/>
    <n v="1789"/>
    <x v="21"/>
  </r>
  <r>
    <x v="135"/>
    <s v="Household Consumption Expenditure"/>
    <n v="3942"/>
    <x v="22"/>
  </r>
  <r>
    <x v="136"/>
    <s v="Household Consumption Expenditure"/>
    <n v="1495"/>
    <x v="13"/>
  </r>
  <r>
    <x v="136"/>
    <s v="Household Consumption Expenditure"/>
    <n v="1294"/>
    <x v="14"/>
  </r>
  <r>
    <x v="136"/>
    <s v="Household Consumption Expenditure"/>
    <n v="975"/>
    <x v="15"/>
  </r>
  <r>
    <x v="136"/>
    <s v="Household Consumption Expenditure"/>
    <n v="4504"/>
    <x v="16"/>
  </r>
  <r>
    <x v="136"/>
    <s v="Household Consumption Expenditure"/>
    <n v="1630"/>
    <x v="17"/>
  </r>
  <r>
    <x v="136"/>
    <s v="Household Consumption Expenditure"/>
    <n v="8079"/>
    <x v="18"/>
  </r>
  <r>
    <x v="136"/>
    <s v="Household Consumption Expenditure"/>
    <n v="208"/>
    <x v="23"/>
  </r>
  <r>
    <x v="136"/>
    <s v="Household Consumption Expenditure"/>
    <n v="2822"/>
    <x v="19"/>
  </r>
  <r>
    <x v="136"/>
    <s v="Household Consumption Expenditure"/>
    <n v="2871"/>
    <x v="20"/>
  </r>
  <r>
    <x v="136"/>
    <s v="Household Consumption Expenditure"/>
    <n v="1899"/>
    <x v="21"/>
  </r>
  <r>
    <x v="136"/>
    <s v="Household Consumption Expenditure"/>
    <n v="3993"/>
    <x v="22"/>
  </r>
  <r>
    <x v="137"/>
    <s v="Household Consumption Expenditure"/>
    <n v="1521"/>
    <x v="13"/>
  </r>
  <r>
    <x v="137"/>
    <s v="Household Consumption Expenditure"/>
    <n v="1292"/>
    <x v="14"/>
  </r>
  <r>
    <x v="137"/>
    <s v="Household Consumption Expenditure"/>
    <n v="975"/>
    <x v="15"/>
  </r>
  <r>
    <x v="137"/>
    <s v="Household Consumption Expenditure"/>
    <n v="4510"/>
    <x v="16"/>
  </r>
  <r>
    <x v="137"/>
    <s v="Household Consumption Expenditure"/>
    <n v="1615"/>
    <x v="17"/>
  </r>
  <r>
    <x v="137"/>
    <s v="Household Consumption Expenditure"/>
    <n v="8173"/>
    <x v="18"/>
  </r>
  <r>
    <x v="137"/>
    <s v="Household Consumption Expenditure"/>
    <n v="234"/>
    <x v="23"/>
  </r>
  <r>
    <x v="137"/>
    <s v="Household Consumption Expenditure"/>
    <n v="2830"/>
    <x v="19"/>
  </r>
  <r>
    <x v="137"/>
    <s v="Household Consumption Expenditure"/>
    <n v="2802"/>
    <x v="20"/>
  </r>
  <r>
    <x v="137"/>
    <s v="Household Consumption Expenditure"/>
    <n v="1850"/>
    <x v="21"/>
  </r>
  <r>
    <x v="137"/>
    <s v="Household Consumption Expenditure"/>
    <n v="4052"/>
    <x v="22"/>
  </r>
  <r>
    <x v="138"/>
    <s v="Household Consumption Expenditure"/>
    <n v="1519"/>
    <x v="13"/>
  </r>
  <r>
    <x v="138"/>
    <s v="Household Consumption Expenditure"/>
    <n v="1298"/>
    <x v="14"/>
  </r>
  <r>
    <x v="138"/>
    <s v="Household Consumption Expenditure"/>
    <n v="994"/>
    <x v="15"/>
  </r>
  <r>
    <x v="138"/>
    <s v="Household Consumption Expenditure"/>
    <n v="4477"/>
    <x v="16"/>
  </r>
  <r>
    <x v="138"/>
    <s v="Household Consumption Expenditure"/>
    <n v="1631"/>
    <x v="17"/>
  </r>
  <r>
    <x v="138"/>
    <s v="Household Consumption Expenditure"/>
    <n v="8236"/>
    <x v="18"/>
  </r>
  <r>
    <x v="138"/>
    <s v="Household Consumption Expenditure"/>
    <n v="227"/>
    <x v="23"/>
  </r>
  <r>
    <x v="138"/>
    <s v="Household Consumption Expenditure"/>
    <n v="2852"/>
    <x v="19"/>
  </r>
  <r>
    <x v="138"/>
    <s v="Household Consumption Expenditure"/>
    <n v="2787"/>
    <x v="20"/>
  </r>
  <r>
    <x v="138"/>
    <s v="Household Consumption Expenditure"/>
    <n v="1825"/>
    <x v="21"/>
  </r>
  <r>
    <x v="138"/>
    <s v="Household Consumption Expenditure"/>
    <n v="4007"/>
    <x v="22"/>
  </r>
  <r>
    <x v="139"/>
    <s v="Household Consumption Expenditure"/>
    <n v="1538"/>
    <x v="13"/>
  </r>
  <r>
    <x v="139"/>
    <s v="Household Consumption Expenditure"/>
    <n v="1308"/>
    <x v="14"/>
  </r>
  <r>
    <x v="139"/>
    <s v="Household Consumption Expenditure"/>
    <n v="977"/>
    <x v="15"/>
  </r>
  <r>
    <x v="139"/>
    <s v="Household Consumption Expenditure"/>
    <n v="4507"/>
    <x v="16"/>
  </r>
  <r>
    <x v="139"/>
    <s v="Household Consumption Expenditure"/>
    <n v="1650"/>
    <x v="17"/>
  </r>
  <r>
    <x v="139"/>
    <s v="Household Consumption Expenditure"/>
    <n v="8332"/>
    <x v="18"/>
  </r>
  <r>
    <x v="139"/>
    <s v="Household Consumption Expenditure"/>
    <n v="229"/>
    <x v="23"/>
  </r>
  <r>
    <x v="139"/>
    <s v="Household Consumption Expenditure"/>
    <n v="2919"/>
    <x v="19"/>
  </r>
  <r>
    <x v="139"/>
    <s v="Household Consumption Expenditure"/>
    <n v="2821"/>
    <x v="20"/>
  </r>
  <r>
    <x v="139"/>
    <s v="Household Consumption Expenditure"/>
    <n v="1890"/>
    <x v="21"/>
  </r>
  <r>
    <x v="139"/>
    <s v="Household Consumption Expenditure"/>
    <n v="4082"/>
    <x v="22"/>
  </r>
  <r>
    <x v="140"/>
    <s v="Household Consumption Expenditure"/>
    <n v="1566"/>
    <x v="13"/>
  </r>
  <r>
    <x v="140"/>
    <s v="Household Consumption Expenditure"/>
    <n v="1296"/>
    <x v="14"/>
  </r>
  <r>
    <x v="140"/>
    <s v="Household Consumption Expenditure"/>
    <n v="970"/>
    <x v="15"/>
  </r>
  <r>
    <x v="140"/>
    <s v="Household Consumption Expenditure"/>
    <n v="4575"/>
    <x v="16"/>
  </r>
  <r>
    <x v="140"/>
    <s v="Household Consumption Expenditure"/>
    <n v="1676"/>
    <x v="17"/>
  </r>
  <r>
    <x v="140"/>
    <s v="Household Consumption Expenditure"/>
    <n v="8448"/>
    <x v="18"/>
  </r>
  <r>
    <x v="140"/>
    <s v="Household Consumption Expenditure"/>
    <n v="226"/>
    <x v="23"/>
  </r>
  <r>
    <x v="140"/>
    <s v="Household Consumption Expenditure"/>
    <n v="2964"/>
    <x v="19"/>
  </r>
  <r>
    <x v="140"/>
    <s v="Household Consumption Expenditure"/>
    <n v="2877"/>
    <x v="20"/>
  </r>
  <r>
    <x v="140"/>
    <s v="Household Consumption Expenditure"/>
    <n v="1921"/>
    <x v="21"/>
  </r>
  <r>
    <x v="140"/>
    <s v="Household Consumption Expenditure"/>
    <n v="4162"/>
    <x v="22"/>
  </r>
  <r>
    <x v="141"/>
    <s v="Household Consumption Expenditure"/>
    <n v="1566"/>
    <x v="13"/>
  </r>
  <r>
    <x v="141"/>
    <s v="Household Consumption Expenditure"/>
    <n v="1337"/>
    <x v="14"/>
  </r>
  <r>
    <x v="141"/>
    <s v="Household Consumption Expenditure"/>
    <n v="956"/>
    <x v="15"/>
  </r>
  <r>
    <x v="141"/>
    <s v="Household Consumption Expenditure"/>
    <n v="4616"/>
    <x v="16"/>
  </r>
  <r>
    <x v="141"/>
    <s v="Household Consumption Expenditure"/>
    <n v="1733"/>
    <x v="17"/>
  </r>
  <r>
    <x v="141"/>
    <s v="Household Consumption Expenditure"/>
    <n v="8529"/>
    <x v="18"/>
  </r>
  <r>
    <x v="141"/>
    <s v="Household Consumption Expenditure"/>
    <n v="267"/>
    <x v="23"/>
  </r>
  <r>
    <x v="141"/>
    <s v="Household Consumption Expenditure"/>
    <n v="3028"/>
    <x v="19"/>
  </r>
  <r>
    <x v="141"/>
    <s v="Household Consumption Expenditure"/>
    <n v="2897"/>
    <x v="20"/>
  </r>
  <r>
    <x v="141"/>
    <s v="Household Consumption Expenditure"/>
    <n v="2004"/>
    <x v="21"/>
  </r>
  <r>
    <x v="141"/>
    <s v="Household Consumption Expenditure"/>
    <n v="4192"/>
    <x v="22"/>
  </r>
  <r>
    <x v="142"/>
    <s v="Household Consumption Expenditure"/>
    <n v="1573"/>
    <x v="13"/>
  </r>
  <r>
    <x v="142"/>
    <s v="Household Consumption Expenditure"/>
    <n v="1284"/>
    <x v="14"/>
  </r>
  <r>
    <x v="142"/>
    <s v="Household Consumption Expenditure"/>
    <n v="962"/>
    <x v="15"/>
  </r>
  <r>
    <x v="142"/>
    <s v="Household Consumption Expenditure"/>
    <n v="4652"/>
    <x v="16"/>
  </r>
  <r>
    <x v="142"/>
    <s v="Household Consumption Expenditure"/>
    <n v="1759"/>
    <x v="17"/>
  </r>
  <r>
    <x v="142"/>
    <s v="Household Consumption Expenditure"/>
    <n v="8616"/>
    <x v="18"/>
  </r>
  <r>
    <x v="142"/>
    <s v="Household Consumption Expenditure"/>
    <n v="269"/>
    <x v="23"/>
  </r>
  <r>
    <x v="142"/>
    <s v="Household Consumption Expenditure"/>
    <n v="3082"/>
    <x v="19"/>
  </r>
  <r>
    <x v="142"/>
    <s v="Household Consumption Expenditure"/>
    <n v="2954"/>
    <x v="20"/>
  </r>
  <r>
    <x v="142"/>
    <s v="Household Consumption Expenditure"/>
    <n v="1976"/>
    <x v="21"/>
  </r>
  <r>
    <x v="142"/>
    <s v="Household Consumption Expenditure"/>
    <n v="4303"/>
    <x v="22"/>
  </r>
  <r>
    <x v="143"/>
    <s v="Household Consumption Expenditure"/>
    <n v="1600"/>
    <x v="13"/>
  </r>
  <r>
    <x v="143"/>
    <s v="Household Consumption Expenditure"/>
    <n v="1353"/>
    <x v="14"/>
  </r>
  <r>
    <x v="143"/>
    <s v="Household Consumption Expenditure"/>
    <n v="966"/>
    <x v="15"/>
  </r>
  <r>
    <x v="143"/>
    <s v="Household Consumption Expenditure"/>
    <n v="4663"/>
    <x v="16"/>
  </r>
  <r>
    <x v="143"/>
    <s v="Household Consumption Expenditure"/>
    <n v="1781"/>
    <x v="17"/>
  </r>
  <r>
    <x v="143"/>
    <s v="Household Consumption Expenditure"/>
    <n v="8722"/>
    <x v="18"/>
  </r>
  <r>
    <x v="143"/>
    <s v="Household Consumption Expenditure"/>
    <n v="269"/>
    <x v="23"/>
  </r>
  <r>
    <x v="143"/>
    <s v="Household Consumption Expenditure"/>
    <n v="3100"/>
    <x v="19"/>
  </r>
  <r>
    <x v="143"/>
    <s v="Household Consumption Expenditure"/>
    <n v="2962"/>
    <x v="20"/>
  </r>
  <r>
    <x v="143"/>
    <s v="Household Consumption Expenditure"/>
    <n v="2032"/>
    <x v="21"/>
  </r>
  <r>
    <x v="143"/>
    <s v="Household Consumption Expenditure"/>
    <n v="4407"/>
    <x v="22"/>
  </r>
  <r>
    <x v="144"/>
    <s v="Household Consumption Expenditure"/>
    <n v="1628"/>
    <x v="13"/>
  </r>
  <r>
    <x v="144"/>
    <s v="Household Consumption Expenditure"/>
    <n v="1360"/>
    <x v="14"/>
  </r>
  <r>
    <x v="144"/>
    <s v="Household Consumption Expenditure"/>
    <n v="957"/>
    <x v="15"/>
  </r>
  <r>
    <x v="144"/>
    <s v="Household Consumption Expenditure"/>
    <n v="4650"/>
    <x v="16"/>
  </r>
  <r>
    <x v="144"/>
    <s v="Household Consumption Expenditure"/>
    <n v="1794"/>
    <x v="17"/>
  </r>
  <r>
    <x v="144"/>
    <s v="Household Consumption Expenditure"/>
    <n v="8798"/>
    <x v="18"/>
  </r>
  <r>
    <x v="144"/>
    <s v="Household Consumption Expenditure"/>
    <n v="288"/>
    <x v="23"/>
  </r>
  <r>
    <x v="144"/>
    <s v="Household Consumption Expenditure"/>
    <n v="3132"/>
    <x v="19"/>
  </r>
  <r>
    <x v="144"/>
    <s v="Household Consumption Expenditure"/>
    <n v="2972"/>
    <x v="20"/>
  </r>
  <r>
    <x v="144"/>
    <s v="Household Consumption Expenditure"/>
    <n v="2108"/>
    <x v="21"/>
  </r>
  <r>
    <x v="144"/>
    <s v="Household Consumption Expenditure"/>
    <n v="4491"/>
    <x v="22"/>
  </r>
  <r>
    <x v="145"/>
    <s v="Household Consumption Expenditure"/>
    <n v="1660"/>
    <x v="13"/>
  </r>
  <r>
    <x v="145"/>
    <s v="Household Consumption Expenditure"/>
    <n v="1336"/>
    <x v="14"/>
  </r>
  <r>
    <x v="145"/>
    <s v="Household Consumption Expenditure"/>
    <n v="952"/>
    <x v="15"/>
  </r>
  <r>
    <x v="145"/>
    <s v="Household Consumption Expenditure"/>
    <n v="4697"/>
    <x v="16"/>
  </r>
  <r>
    <x v="145"/>
    <s v="Household Consumption Expenditure"/>
    <n v="1819"/>
    <x v="17"/>
  </r>
  <r>
    <x v="145"/>
    <s v="Household Consumption Expenditure"/>
    <n v="8927"/>
    <x v="18"/>
  </r>
  <r>
    <x v="145"/>
    <s v="Household Consumption Expenditure"/>
    <n v="284"/>
    <x v="23"/>
  </r>
  <r>
    <x v="145"/>
    <s v="Household Consumption Expenditure"/>
    <n v="3154"/>
    <x v="19"/>
  </r>
  <r>
    <x v="145"/>
    <s v="Household Consumption Expenditure"/>
    <n v="2994"/>
    <x v="20"/>
  </r>
  <r>
    <x v="145"/>
    <s v="Household Consumption Expenditure"/>
    <n v="2060"/>
    <x v="21"/>
  </r>
  <r>
    <x v="145"/>
    <s v="Household Consumption Expenditure"/>
    <n v="4498"/>
    <x v="22"/>
  </r>
  <r>
    <x v="146"/>
    <s v="Household Consumption Expenditure"/>
    <n v="1709"/>
    <x v="13"/>
  </r>
  <r>
    <x v="146"/>
    <s v="Household Consumption Expenditure"/>
    <n v="1359"/>
    <x v="14"/>
  </r>
  <r>
    <x v="146"/>
    <s v="Household Consumption Expenditure"/>
    <n v="951"/>
    <x v="15"/>
  </r>
  <r>
    <x v="146"/>
    <s v="Household Consumption Expenditure"/>
    <n v="4761"/>
    <x v="16"/>
  </r>
  <r>
    <x v="146"/>
    <s v="Household Consumption Expenditure"/>
    <n v="1860"/>
    <x v="17"/>
  </r>
  <r>
    <x v="146"/>
    <s v="Household Consumption Expenditure"/>
    <n v="9069"/>
    <x v="18"/>
  </r>
  <r>
    <x v="146"/>
    <s v="Household Consumption Expenditure"/>
    <n v="298"/>
    <x v="23"/>
  </r>
  <r>
    <x v="146"/>
    <s v="Household Consumption Expenditure"/>
    <n v="3178"/>
    <x v="19"/>
  </r>
  <r>
    <x v="146"/>
    <s v="Household Consumption Expenditure"/>
    <n v="3014"/>
    <x v="20"/>
  </r>
  <r>
    <x v="146"/>
    <s v="Household Consumption Expenditure"/>
    <n v="2061"/>
    <x v="21"/>
  </r>
  <r>
    <x v="146"/>
    <s v="Household Consumption Expenditure"/>
    <n v="4542"/>
    <x v="22"/>
  </r>
  <r>
    <x v="147"/>
    <s v="Household Consumption Expenditure"/>
    <n v="1727"/>
    <x v="13"/>
  </r>
  <r>
    <x v="147"/>
    <s v="Household Consumption Expenditure"/>
    <n v="1360"/>
    <x v="14"/>
  </r>
  <r>
    <x v="147"/>
    <s v="Household Consumption Expenditure"/>
    <n v="946"/>
    <x v="15"/>
  </r>
  <r>
    <x v="147"/>
    <s v="Household Consumption Expenditure"/>
    <n v="4789"/>
    <x v="16"/>
  </r>
  <r>
    <x v="147"/>
    <s v="Household Consumption Expenditure"/>
    <n v="1888"/>
    <x v="17"/>
  </r>
  <r>
    <x v="147"/>
    <s v="Household Consumption Expenditure"/>
    <n v="9175"/>
    <x v="18"/>
  </r>
  <r>
    <x v="147"/>
    <s v="Household Consumption Expenditure"/>
    <n v="314"/>
    <x v="23"/>
  </r>
  <r>
    <x v="147"/>
    <s v="Household Consumption Expenditure"/>
    <n v="3230"/>
    <x v="19"/>
  </r>
  <r>
    <x v="147"/>
    <s v="Household Consumption Expenditure"/>
    <n v="3041"/>
    <x v="20"/>
  </r>
  <r>
    <x v="147"/>
    <s v="Household Consumption Expenditure"/>
    <n v="1966"/>
    <x v="21"/>
  </r>
  <r>
    <x v="147"/>
    <s v="Household Consumption Expenditure"/>
    <n v="4570"/>
    <x v="22"/>
  </r>
  <r>
    <x v="148"/>
    <s v="Household Consumption Expenditure"/>
    <n v="1752"/>
    <x v="13"/>
  </r>
  <r>
    <x v="148"/>
    <s v="Household Consumption Expenditure"/>
    <n v="1374"/>
    <x v="14"/>
  </r>
  <r>
    <x v="148"/>
    <s v="Household Consumption Expenditure"/>
    <n v="936"/>
    <x v="15"/>
  </r>
  <r>
    <x v="148"/>
    <s v="Household Consumption Expenditure"/>
    <n v="4882"/>
    <x v="16"/>
  </r>
  <r>
    <x v="148"/>
    <s v="Household Consumption Expenditure"/>
    <n v="1945"/>
    <x v="17"/>
  </r>
  <r>
    <x v="148"/>
    <s v="Household Consumption Expenditure"/>
    <n v="9280"/>
    <x v="18"/>
  </r>
  <r>
    <x v="148"/>
    <s v="Household Consumption Expenditure"/>
    <n v="317"/>
    <x v="23"/>
  </r>
  <r>
    <x v="148"/>
    <s v="Household Consumption Expenditure"/>
    <n v="3292"/>
    <x v="19"/>
  </r>
  <r>
    <x v="148"/>
    <s v="Household Consumption Expenditure"/>
    <n v="3139"/>
    <x v="20"/>
  </r>
  <r>
    <x v="148"/>
    <s v="Household Consumption Expenditure"/>
    <n v="1937"/>
    <x v="21"/>
  </r>
  <r>
    <x v="148"/>
    <s v="Household Consumption Expenditure"/>
    <n v="4602"/>
    <x v="22"/>
  </r>
  <r>
    <x v="149"/>
    <s v="Household Consumption Expenditure"/>
    <n v="1778"/>
    <x v="13"/>
  </r>
  <r>
    <x v="149"/>
    <s v="Household Consumption Expenditure"/>
    <n v="1382"/>
    <x v="14"/>
  </r>
  <r>
    <x v="149"/>
    <s v="Household Consumption Expenditure"/>
    <n v="943"/>
    <x v="15"/>
  </r>
  <r>
    <x v="149"/>
    <s v="Household Consumption Expenditure"/>
    <n v="4916"/>
    <x v="16"/>
  </r>
  <r>
    <x v="149"/>
    <s v="Household Consumption Expenditure"/>
    <n v="1946"/>
    <x v="17"/>
  </r>
  <r>
    <x v="149"/>
    <s v="Household Consumption Expenditure"/>
    <n v="9400"/>
    <x v="18"/>
  </r>
  <r>
    <x v="149"/>
    <s v="Household Consumption Expenditure"/>
    <n v="307"/>
    <x v="23"/>
  </r>
  <r>
    <x v="149"/>
    <s v="Household Consumption Expenditure"/>
    <n v="3352"/>
    <x v="19"/>
  </r>
  <r>
    <x v="149"/>
    <s v="Household Consumption Expenditure"/>
    <n v="3192"/>
    <x v="20"/>
  </r>
  <r>
    <x v="149"/>
    <s v="Household Consumption Expenditure"/>
    <n v="1988"/>
    <x v="21"/>
  </r>
  <r>
    <x v="149"/>
    <s v="Household Consumption Expenditure"/>
    <n v="4686"/>
    <x v="22"/>
  </r>
  <r>
    <x v="150"/>
    <s v="Household Consumption Expenditure"/>
    <n v="1817"/>
    <x v="13"/>
  </r>
  <r>
    <x v="150"/>
    <s v="Household Consumption Expenditure"/>
    <n v="1390"/>
    <x v="14"/>
  </r>
  <r>
    <x v="150"/>
    <s v="Household Consumption Expenditure"/>
    <n v="938"/>
    <x v="15"/>
  </r>
  <r>
    <x v="150"/>
    <s v="Household Consumption Expenditure"/>
    <n v="4976"/>
    <x v="16"/>
  </r>
  <r>
    <x v="150"/>
    <s v="Household Consumption Expenditure"/>
    <n v="1997"/>
    <x v="17"/>
  </r>
  <r>
    <x v="150"/>
    <s v="Household Consumption Expenditure"/>
    <n v="9513"/>
    <x v="18"/>
  </r>
  <r>
    <x v="150"/>
    <s v="Household Consumption Expenditure"/>
    <n v="338"/>
    <x v="23"/>
  </r>
  <r>
    <x v="150"/>
    <s v="Household Consumption Expenditure"/>
    <n v="3455"/>
    <x v="19"/>
  </r>
  <r>
    <x v="150"/>
    <s v="Household Consumption Expenditure"/>
    <n v="3207"/>
    <x v="20"/>
  </r>
  <r>
    <x v="150"/>
    <s v="Household Consumption Expenditure"/>
    <n v="2057"/>
    <x v="21"/>
  </r>
  <r>
    <x v="150"/>
    <s v="Household Consumption Expenditure"/>
    <n v="4779"/>
    <x v="22"/>
  </r>
  <r>
    <x v="151"/>
    <s v="Household Consumption Expenditure"/>
    <n v="1849"/>
    <x v="13"/>
  </r>
  <r>
    <x v="151"/>
    <s v="Household Consumption Expenditure"/>
    <n v="1421"/>
    <x v="14"/>
  </r>
  <r>
    <x v="151"/>
    <s v="Household Consumption Expenditure"/>
    <n v="946"/>
    <x v="15"/>
  </r>
  <r>
    <x v="151"/>
    <s v="Household Consumption Expenditure"/>
    <n v="4971"/>
    <x v="16"/>
  </r>
  <r>
    <x v="151"/>
    <s v="Household Consumption Expenditure"/>
    <n v="2042"/>
    <x v="17"/>
  </r>
  <r>
    <x v="151"/>
    <s v="Household Consumption Expenditure"/>
    <n v="9635"/>
    <x v="18"/>
  </r>
  <r>
    <x v="151"/>
    <s v="Household Consumption Expenditure"/>
    <n v="350"/>
    <x v="23"/>
  </r>
  <r>
    <x v="151"/>
    <s v="Household Consumption Expenditure"/>
    <n v="3508"/>
    <x v="19"/>
  </r>
  <r>
    <x v="151"/>
    <s v="Household Consumption Expenditure"/>
    <n v="3274"/>
    <x v="20"/>
  </r>
  <r>
    <x v="151"/>
    <s v="Household Consumption Expenditure"/>
    <n v="2145"/>
    <x v="21"/>
  </r>
  <r>
    <x v="151"/>
    <s v="Household Consumption Expenditure"/>
    <n v="4744"/>
    <x v="22"/>
  </r>
  <r>
    <x v="152"/>
    <s v="Household Consumption Expenditure"/>
    <n v="1884"/>
    <x v="13"/>
  </r>
  <r>
    <x v="152"/>
    <s v="Household Consumption Expenditure"/>
    <n v="1430"/>
    <x v="14"/>
  </r>
  <r>
    <x v="152"/>
    <s v="Household Consumption Expenditure"/>
    <n v="958"/>
    <x v="15"/>
  </r>
  <r>
    <x v="152"/>
    <s v="Household Consumption Expenditure"/>
    <n v="5048"/>
    <x v="16"/>
  </r>
  <r>
    <x v="152"/>
    <s v="Household Consumption Expenditure"/>
    <n v="2067"/>
    <x v="17"/>
  </r>
  <r>
    <x v="152"/>
    <s v="Household Consumption Expenditure"/>
    <n v="9690"/>
    <x v="18"/>
  </r>
  <r>
    <x v="152"/>
    <s v="Household Consumption Expenditure"/>
    <n v="346"/>
    <x v="23"/>
  </r>
  <r>
    <x v="152"/>
    <s v="Household Consumption Expenditure"/>
    <n v="3581"/>
    <x v="19"/>
  </r>
  <r>
    <x v="152"/>
    <s v="Household Consumption Expenditure"/>
    <n v="3270"/>
    <x v="20"/>
  </r>
  <r>
    <x v="152"/>
    <s v="Household Consumption Expenditure"/>
    <n v="2087"/>
    <x v="21"/>
  </r>
  <r>
    <x v="152"/>
    <s v="Household Consumption Expenditure"/>
    <n v="4747"/>
    <x v="22"/>
  </r>
  <r>
    <x v="0"/>
    <s v="Household Consumption Expenditure"/>
    <n v="1954"/>
    <x v="13"/>
  </r>
  <r>
    <x v="0"/>
    <s v="Household Consumption Expenditure"/>
    <n v="1465"/>
    <x v="14"/>
  </r>
  <r>
    <x v="0"/>
    <s v="Household Consumption Expenditure"/>
    <n v="964"/>
    <x v="15"/>
  </r>
  <r>
    <x v="0"/>
    <s v="Household Consumption Expenditure"/>
    <n v="5114"/>
    <x v="16"/>
  </r>
  <r>
    <x v="0"/>
    <s v="Household Consumption Expenditure"/>
    <n v="2108"/>
    <x v="17"/>
  </r>
  <r>
    <x v="0"/>
    <s v="Household Consumption Expenditure"/>
    <n v="9832"/>
    <x v="18"/>
  </r>
  <r>
    <x v="0"/>
    <s v="Household Consumption Expenditure"/>
    <n v="363"/>
    <x v="23"/>
  </r>
  <r>
    <x v="0"/>
    <s v="Household Consumption Expenditure"/>
    <n v="3688"/>
    <x v="19"/>
  </r>
  <r>
    <x v="0"/>
    <s v="Household Consumption Expenditure"/>
    <n v="3383"/>
    <x v="20"/>
  </r>
  <r>
    <x v="0"/>
    <s v="Household Consumption Expenditure"/>
    <n v="2304"/>
    <x v="21"/>
  </r>
  <r>
    <x v="0"/>
    <s v="Household Consumption Expenditure"/>
    <n v="4929"/>
    <x v="22"/>
  </r>
  <r>
    <x v="1"/>
    <s v="Household Consumption Expenditure"/>
    <n v="1998"/>
    <x v="13"/>
  </r>
  <r>
    <x v="1"/>
    <s v="Household Consumption Expenditure"/>
    <n v="1452"/>
    <x v="14"/>
  </r>
  <r>
    <x v="1"/>
    <s v="Household Consumption Expenditure"/>
    <n v="969"/>
    <x v="15"/>
  </r>
  <r>
    <x v="1"/>
    <s v="Household Consumption Expenditure"/>
    <n v="5129"/>
    <x v="16"/>
  </r>
  <r>
    <x v="1"/>
    <s v="Household Consumption Expenditure"/>
    <n v="2117"/>
    <x v="17"/>
  </r>
  <r>
    <x v="1"/>
    <s v="Household Consumption Expenditure"/>
    <n v="9999"/>
    <x v="18"/>
  </r>
  <r>
    <x v="1"/>
    <s v="Household Consumption Expenditure"/>
    <n v="353"/>
    <x v="23"/>
  </r>
  <r>
    <x v="1"/>
    <s v="Household Consumption Expenditure"/>
    <n v="3695"/>
    <x v="19"/>
  </r>
  <r>
    <x v="1"/>
    <s v="Household Consumption Expenditure"/>
    <n v="3423"/>
    <x v="20"/>
  </r>
  <r>
    <x v="1"/>
    <s v="Household Consumption Expenditure"/>
    <n v="2410"/>
    <x v="21"/>
  </r>
  <r>
    <x v="1"/>
    <s v="Household Consumption Expenditure"/>
    <n v="5077"/>
    <x v="22"/>
  </r>
  <r>
    <x v="2"/>
    <s v="Household Consumption Expenditure"/>
    <n v="2038"/>
    <x v="13"/>
  </r>
  <r>
    <x v="2"/>
    <s v="Household Consumption Expenditure"/>
    <n v="1451"/>
    <x v="14"/>
  </r>
  <r>
    <x v="2"/>
    <s v="Household Consumption Expenditure"/>
    <n v="963"/>
    <x v="15"/>
  </r>
  <r>
    <x v="2"/>
    <s v="Household Consumption Expenditure"/>
    <n v="5221"/>
    <x v="16"/>
  </r>
  <r>
    <x v="2"/>
    <s v="Household Consumption Expenditure"/>
    <n v="2148"/>
    <x v="17"/>
  </r>
  <r>
    <x v="2"/>
    <s v="Household Consumption Expenditure"/>
    <n v="10148"/>
    <x v="18"/>
  </r>
  <r>
    <x v="2"/>
    <s v="Household Consumption Expenditure"/>
    <n v="363"/>
    <x v="23"/>
  </r>
  <r>
    <x v="2"/>
    <s v="Household Consumption Expenditure"/>
    <n v="3784"/>
    <x v="19"/>
  </r>
  <r>
    <x v="2"/>
    <s v="Household Consumption Expenditure"/>
    <n v="3497"/>
    <x v="20"/>
  </r>
  <r>
    <x v="2"/>
    <s v="Household Consumption Expenditure"/>
    <n v="2411"/>
    <x v="21"/>
  </r>
  <r>
    <x v="2"/>
    <s v="Household Consumption Expenditure"/>
    <n v="5164"/>
    <x v="22"/>
  </r>
  <r>
    <x v="3"/>
    <s v="Household Consumption Expenditure"/>
    <n v="2080"/>
    <x v="13"/>
  </r>
  <r>
    <x v="3"/>
    <s v="Household Consumption Expenditure"/>
    <n v="1480"/>
    <x v="14"/>
  </r>
  <r>
    <x v="3"/>
    <s v="Household Consumption Expenditure"/>
    <n v="963"/>
    <x v="15"/>
  </r>
  <r>
    <x v="3"/>
    <s v="Household Consumption Expenditure"/>
    <n v="5294"/>
    <x v="16"/>
  </r>
  <r>
    <x v="3"/>
    <s v="Household Consumption Expenditure"/>
    <n v="2185"/>
    <x v="17"/>
  </r>
  <r>
    <x v="3"/>
    <s v="Household Consumption Expenditure"/>
    <n v="10314"/>
    <x v="18"/>
  </r>
  <r>
    <x v="3"/>
    <s v="Household Consumption Expenditure"/>
    <n v="376"/>
    <x v="23"/>
  </r>
  <r>
    <x v="3"/>
    <s v="Household Consumption Expenditure"/>
    <n v="3845"/>
    <x v="19"/>
  </r>
  <r>
    <x v="3"/>
    <s v="Household Consumption Expenditure"/>
    <n v="3581"/>
    <x v="20"/>
  </r>
  <r>
    <x v="3"/>
    <s v="Household Consumption Expenditure"/>
    <n v="2547"/>
    <x v="21"/>
  </r>
  <r>
    <x v="3"/>
    <s v="Household Consumption Expenditure"/>
    <n v="5537"/>
    <x v="22"/>
  </r>
  <r>
    <x v="4"/>
    <s v="Household Consumption Expenditure"/>
    <n v="2093"/>
    <x v="13"/>
  </r>
  <r>
    <x v="4"/>
    <s v="Household Consumption Expenditure"/>
    <n v="1503"/>
    <x v="14"/>
  </r>
  <r>
    <x v="4"/>
    <s v="Household Consumption Expenditure"/>
    <n v="966"/>
    <x v="15"/>
  </r>
  <r>
    <x v="4"/>
    <s v="Household Consumption Expenditure"/>
    <n v="5395"/>
    <x v="16"/>
  </r>
  <r>
    <x v="4"/>
    <s v="Household Consumption Expenditure"/>
    <n v="2207"/>
    <x v="17"/>
  </r>
  <r>
    <x v="4"/>
    <s v="Household Consumption Expenditure"/>
    <n v="10477"/>
    <x v="18"/>
  </r>
  <r>
    <x v="4"/>
    <s v="Household Consumption Expenditure"/>
    <n v="386"/>
    <x v="23"/>
  </r>
  <r>
    <x v="4"/>
    <s v="Household Consumption Expenditure"/>
    <n v="3921"/>
    <x v="19"/>
  </r>
  <r>
    <x v="4"/>
    <s v="Household Consumption Expenditure"/>
    <n v="3595"/>
    <x v="20"/>
  </r>
  <r>
    <x v="4"/>
    <s v="Household Consumption Expenditure"/>
    <n v="2595"/>
    <x v="21"/>
  </r>
  <r>
    <x v="4"/>
    <s v="Household Consumption Expenditure"/>
    <n v="5422"/>
    <x v="22"/>
  </r>
  <r>
    <x v="5"/>
    <s v="Household Consumption Expenditure"/>
    <n v="2116"/>
    <x v="13"/>
  </r>
  <r>
    <x v="5"/>
    <s v="Household Consumption Expenditure"/>
    <n v="1542"/>
    <x v="14"/>
  </r>
  <r>
    <x v="5"/>
    <s v="Household Consumption Expenditure"/>
    <n v="961"/>
    <x v="15"/>
  </r>
  <r>
    <x v="5"/>
    <s v="Household Consumption Expenditure"/>
    <n v="5484"/>
    <x v="16"/>
  </r>
  <r>
    <x v="5"/>
    <s v="Household Consumption Expenditure"/>
    <n v="2229"/>
    <x v="17"/>
  </r>
  <r>
    <x v="5"/>
    <s v="Household Consumption Expenditure"/>
    <n v="10637"/>
    <x v="18"/>
  </r>
  <r>
    <x v="5"/>
    <s v="Household Consumption Expenditure"/>
    <n v="383"/>
    <x v="23"/>
  </r>
  <r>
    <x v="5"/>
    <s v="Household Consumption Expenditure"/>
    <n v="4001"/>
    <x v="19"/>
  </r>
  <r>
    <x v="5"/>
    <s v="Household Consumption Expenditure"/>
    <n v="3632"/>
    <x v="20"/>
  </r>
  <r>
    <x v="5"/>
    <s v="Household Consumption Expenditure"/>
    <n v="2580"/>
    <x v="21"/>
  </r>
  <r>
    <x v="5"/>
    <s v="Household Consumption Expenditure"/>
    <n v="5495"/>
    <x v="22"/>
  </r>
  <r>
    <x v="6"/>
    <s v="Household Consumption Expenditure"/>
    <n v="2158"/>
    <x v="13"/>
  </r>
  <r>
    <x v="6"/>
    <s v="Household Consumption Expenditure"/>
    <n v="1552"/>
    <x v="14"/>
  </r>
  <r>
    <x v="6"/>
    <s v="Household Consumption Expenditure"/>
    <n v="958"/>
    <x v="15"/>
  </r>
  <r>
    <x v="6"/>
    <s v="Household Consumption Expenditure"/>
    <n v="5608"/>
    <x v="16"/>
  </r>
  <r>
    <x v="6"/>
    <s v="Household Consumption Expenditure"/>
    <n v="2257"/>
    <x v="17"/>
  </r>
  <r>
    <x v="6"/>
    <s v="Household Consumption Expenditure"/>
    <n v="10814"/>
    <x v="18"/>
  </r>
  <r>
    <x v="6"/>
    <s v="Household Consumption Expenditure"/>
    <n v="409"/>
    <x v="23"/>
  </r>
  <r>
    <x v="6"/>
    <s v="Household Consumption Expenditure"/>
    <n v="4106"/>
    <x v="19"/>
  </r>
  <r>
    <x v="6"/>
    <s v="Household Consumption Expenditure"/>
    <n v="3632"/>
    <x v="20"/>
  </r>
  <r>
    <x v="6"/>
    <s v="Household Consumption Expenditure"/>
    <n v="2631"/>
    <x v="21"/>
  </r>
  <r>
    <x v="6"/>
    <s v="Household Consumption Expenditure"/>
    <n v="5662"/>
    <x v="22"/>
  </r>
  <r>
    <x v="7"/>
    <s v="Household Consumption Expenditure"/>
    <n v="2143"/>
    <x v="13"/>
  </r>
  <r>
    <x v="7"/>
    <s v="Household Consumption Expenditure"/>
    <n v="1500"/>
    <x v="14"/>
  </r>
  <r>
    <x v="7"/>
    <s v="Household Consumption Expenditure"/>
    <n v="965"/>
    <x v="15"/>
  </r>
  <r>
    <x v="7"/>
    <s v="Household Consumption Expenditure"/>
    <n v="5579"/>
    <x v="16"/>
  </r>
  <r>
    <x v="7"/>
    <s v="Household Consumption Expenditure"/>
    <n v="2301"/>
    <x v="17"/>
  </r>
  <r>
    <x v="7"/>
    <s v="Household Consumption Expenditure"/>
    <n v="10955"/>
    <x v="18"/>
  </r>
  <r>
    <x v="7"/>
    <s v="Household Consumption Expenditure"/>
    <n v="429"/>
    <x v="23"/>
  </r>
  <r>
    <x v="7"/>
    <s v="Household Consumption Expenditure"/>
    <n v="4160"/>
    <x v="19"/>
  </r>
  <r>
    <x v="7"/>
    <s v="Household Consumption Expenditure"/>
    <n v="3682"/>
    <x v="20"/>
  </r>
  <r>
    <x v="7"/>
    <s v="Household Consumption Expenditure"/>
    <n v="2640"/>
    <x v="21"/>
  </r>
  <r>
    <x v="7"/>
    <s v="Household Consumption Expenditure"/>
    <n v="5825"/>
    <x v="22"/>
  </r>
  <r>
    <x v="8"/>
    <s v="Household Consumption Expenditure"/>
    <n v="2152"/>
    <x v="13"/>
  </r>
  <r>
    <x v="8"/>
    <s v="Household Consumption Expenditure"/>
    <n v="1564"/>
    <x v="14"/>
  </r>
  <r>
    <x v="8"/>
    <s v="Household Consumption Expenditure"/>
    <n v="969"/>
    <x v="15"/>
  </r>
  <r>
    <x v="8"/>
    <s v="Household Consumption Expenditure"/>
    <n v="5650"/>
    <x v="16"/>
  </r>
  <r>
    <x v="8"/>
    <s v="Household Consumption Expenditure"/>
    <n v="2343"/>
    <x v="17"/>
  </r>
  <r>
    <x v="8"/>
    <s v="Household Consumption Expenditure"/>
    <n v="11166"/>
    <x v="18"/>
  </r>
  <r>
    <x v="8"/>
    <s v="Household Consumption Expenditure"/>
    <n v="440"/>
    <x v="23"/>
  </r>
  <r>
    <x v="8"/>
    <s v="Household Consumption Expenditure"/>
    <n v="4261"/>
    <x v="19"/>
  </r>
  <r>
    <x v="8"/>
    <s v="Household Consumption Expenditure"/>
    <n v="3740"/>
    <x v="20"/>
  </r>
  <r>
    <x v="8"/>
    <s v="Household Consumption Expenditure"/>
    <n v="2659"/>
    <x v="21"/>
  </r>
  <r>
    <x v="8"/>
    <s v="Household Consumption Expenditure"/>
    <n v="5972"/>
    <x v="22"/>
  </r>
  <r>
    <x v="9"/>
    <s v="Household Consumption Expenditure"/>
    <n v="2174"/>
    <x v="13"/>
  </r>
  <r>
    <x v="9"/>
    <s v="Household Consumption Expenditure"/>
    <n v="1620"/>
    <x v="14"/>
  </r>
  <r>
    <x v="9"/>
    <s v="Household Consumption Expenditure"/>
    <n v="958"/>
    <x v="15"/>
  </r>
  <r>
    <x v="9"/>
    <s v="Household Consumption Expenditure"/>
    <n v="5658"/>
    <x v="16"/>
  </r>
  <r>
    <x v="9"/>
    <s v="Household Consumption Expenditure"/>
    <n v="2383"/>
    <x v="17"/>
  </r>
  <r>
    <x v="9"/>
    <s v="Household Consumption Expenditure"/>
    <n v="11312"/>
    <x v="18"/>
  </r>
  <r>
    <x v="9"/>
    <s v="Household Consumption Expenditure"/>
    <n v="451"/>
    <x v="23"/>
  </r>
  <r>
    <x v="9"/>
    <s v="Household Consumption Expenditure"/>
    <n v="4355"/>
    <x v="19"/>
  </r>
  <r>
    <x v="9"/>
    <s v="Household Consumption Expenditure"/>
    <n v="3859"/>
    <x v="20"/>
  </r>
  <r>
    <x v="9"/>
    <s v="Household Consumption Expenditure"/>
    <n v="2734"/>
    <x v="21"/>
  </r>
  <r>
    <x v="9"/>
    <s v="Household Consumption Expenditure"/>
    <n v="6133"/>
    <x v="22"/>
  </r>
  <r>
    <x v="10"/>
    <s v="Household Consumption Expenditure"/>
    <n v="2241"/>
    <x v="13"/>
  </r>
  <r>
    <x v="10"/>
    <s v="Household Consumption Expenditure"/>
    <n v="1646"/>
    <x v="14"/>
  </r>
  <r>
    <x v="10"/>
    <s v="Household Consumption Expenditure"/>
    <n v="950"/>
    <x v="15"/>
  </r>
  <r>
    <x v="10"/>
    <s v="Household Consumption Expenditure"/>
    <n v="5741"/>
    <x v="16"/>
  </r>
  <r>
    <x v="10"/>
    <s v="Household Consumption Expenditure"/>
    <n v="2409"/>
    <x v="17"/>
  </r>
  <r>
    <x v="10"/>
    <s v="Household Consumption Expenditure"/>
    <n v="11441"/>
    <x v="18"/>
  </r>
  <r>
    <x v="10"/>
    <s v="Household Consumption Expenditure"/>
    <n v="470"/>
    <x v="23"/>
  </r>
  <r>
    <x v="10"/>
    <s v="Household Consumption Expenditure"/>
    <n v="4454"/>
    <x v="19"/>
  </r>
  <r>
    <x v="10"/>
    <s v="Household Consumption Expenditure"/>
    <n v="3895"/>
    <x v="20"/>
  </r>
  <r>
    <x v="10"/>
    <s v="Household Consumption Expenditure"/>
    <n v="2818"/>
    <x v="21"/>
  </r>
  <r>
    <x v="10"/>
    <s v="Household Consumption Expenditure"/>
    <n v="6154"/>
    <x v="22"/>
  </r>
  <r>
    <x v="11"/>
    <s v="Household Consumption Expenditure"/>
    <n v="2265"/>
    <x v="13"/>
  </r>
  <r>
    <x v="11"/>
    <s v="Household Consumption Expenditure"/>
    <n v="1623"/>
    <x v="14"/>
  </r>
  <r>
    <x v="11"/>
    <s v="Household Consumption Expenditure"/>
    <n v="943"/>
    <x v="15"/>
  </r>
  <r>
    <x v="11"/>
    <s v="Household Consumption Expenditure"/>
    <n v="5711"/>
    <x v="16"/>
  </r>
  <r>
    <x v="11"/>
    <s v="Household Consumption Expenditure"/>
    <n v="2426"/>
    <x v="17"/>
  </r>
  <r>
    <x v="11"/>
    <s v="Household Consumption Expenditure"/>
    <n v="11646"/>
    <x v="18"/>
  </r>
  <r>
    <x v="11"/>
    <s v="Household Consumption Expenditure"/>
    <n v="494"/>
    <x v="23"/>
  </r>
  <r>
    <x v="11"/>
    <s v="Household Consumption Expenditure"/>
    <n v="4583"/>
    <x v="19"/>
  </r>
  <r>
    <x v="11"/>
    <s v="Household Consumption Expenditure"/>
    <n v="3813"/>
    <x v="20"/>
  </r>
  <r>
    <x v="11"/>
    <s v="Household Consumption Expenditure"/>
    <n v="2778"/>
    <x v="21"/>
  </r>
  <r>
    <x v="11"/>
    <s v="Household Consumption Expenditure"/>
    <n v="5996"/>
    <x v="22"/>
  </r>
  <r>
    <x v="12"/>
    <s v="Household Consumption Expenditure"/>
    <n v="2335"/>
    <x v="13"/>
  </r>
  <r>
    <x v="12"/>
    <s v="Household Consumption Expenditure"/>
    <n v="1668"/>
    <x v="14"/>
  </r>
  <r>
    <x v="12"/>
    <s v="Household Consumption Expenditure"/>
    <n v="958"/>
    <x v="15"/>
  </r>
  <r>
    <x v="12"/>
    <s v="Household Consumption Expenditure"/>
    <n v="5697"/>
    <x v="16"/>
  </r>
  <r>
    <x v="12"/>
    <s v="Household Consumption Expenditure"/>
    <n v="2453"/>
    <x v="17"/>
  </r>
  <r>
    <x v="12"/>
    <s v="Household Consumption Expenditure"/>
    <n v="11855"/>
    <x v="18"/>
  </r>
  <r>
    <x v="12"/>
    <s v="Household Consumption Expenditure"/>
    <n v="533"/>
    <x v="23"/>
  </r>
  <r>
    <x v="12"/>
    <s v="Household Consumption Expenditure"/>
    <n v="4649"/>
    <x v="19"/>
  </r>
  <r>
    <x v="12"/>
    <s v="Household Consumption Expenditure"/>
    <n v="3983"/>
    <x v="20"/>
  </r>
  <r>
    <x v="12"/>
    <s v="Household Consumption Expenditure"/>
    <n v="2827"/>
    <x v="21"/>
  </r>
  <r>
    <x v="12"/>
    <s v="Household Consumption Expenditure"/>
    <n v="6012"/>
    <x v="22"/>
  </r>
  <r>
    <x v="13"/>
    <s v="Household Consumption Expenditure"/>
    <n v="2402"/>
    <x v="13"/>
  </r>
  <r>
    <x v="13"/>
    <s v="Household Consumption Expenditure"/>
    <n v="1703"/>
    <x v="14"/>
  </r>
  <r>
    <x v="13"/>
    <s v="Household Consumption Expenditure"/>
    <n v="974"/>
    <x v="15"/>
  </r>
  <r>
    <x v="13"/>
    <s v="Household Consumption Expenditure"/>
    <n v="5723"/>
    <x v="16"/>
  </r>
  <r>
    <x v="13"/>
    <s v="Household Consumption Expenditure"/>
    <n v="2524"/>
    <x v="17"/>
  </r>
  <r>
    <x v="13"/>
    <s v="Household Consumption Expenditure"/>
    <n v="12040"/>
    <x v="18"/>
  </r>
  <r>
    <x v="13"/>
    <s v="Household Consumption Expenditure"/>
    <n v="581"/>
    <x v="23"/>
  </r>
  <r>
    <x v="13"/>
    <s v="Household Consumption Expenditure"/>
    <n v="4730"/>
    <x v="19"/>
  </r>
  <r>
    <x v="13"/>
    <s v="Household Consumption Expenditure"/>
    <n v="4045"/>
    <x v="20"/>
  </r>
  <r>
    <x v="13"/>
    <s v="Household Consumption Expenditure"/>
    <n v="2864"/>
    <x v="21"/>
  </r>
  <r>
    <x v="13"/>
    <s v="Household Consumption Expenditure"/>
    <n v="5995"/>
    <x v="22"/>
  </r>
  <r>
    <x v="14"/>
    <s v="Household Consumption Expenditure"/>
    <n v="2461"/>
    <x v="13"/>
  </r>
  <r>
    <x v="14"/>
    <s v="Household Consumption Expenditure"/>
    <n v="1723"/>
    <x v="14"/>
  </r>
  <r>
    <x v="14"/>
    <s v="Household Consumption Expenditure"/>
    <n v="973"/>
    <x v="15"/>
  </r>
  <r>
    <x v="14"/>
    <s v="Household Consumption Expenditure"/>
    <n v="5770"/>
    <x v="16"/>
  </r>
  <r>
    <x v="14"/>
    <s v="Household Consumption Expenditure"/>
    <n v="2554"/>
    <x v="17"/>
  </r>
  <r>
    <x v="14"/>
    <s v="Household Consumption Expenditure"/>
    <n v="12173"/>
    <x v="18"/>
  </r>
  <r>
    <x v="14"/>
    <s v="Household Consumption Expenditure"/>
    <n v="560"/>
    <x v="23"/>
  </r>
  <r>
    <x v="14"/>
    <s v="Household Consumption Expenditure"/>
    <n v="4734"/>
    <x v="19"/>
  </r>
  <r>
    <x v="14"/>
    <s v="Household Consumption Expenditure"/>
    <n v="4124"/>
    <x v="20"/>
  </r>
  <r>
    <x v="14"/>
    <s v="Household Consumption Expenditure"/>
    <n v="2914"/>
    <x v="21"/>
  </r>
  <r>
    <x v="14"/>
    <s v="Household Consumption Expenditure"/>
    <n v="6002"/>
    <x v="22"/>
  </r>
  <r>
    <x v="15"/>
    <s v="Household Consumption Expenditure"/>
    <n v="2535"/>
    <x v="13"/>
  </r>
  <r>
    <x v="15"/>
    <s v="Household Consumption Expenditure"/>
    <n v="1575"/>
    <x v="14"/>
  </r>
  <r>
    <x v="15"/>
    <s v="Household Consumption Expenditure"/>
    <n v="957"/>
    <x v="15"/>
  </r>
  <r>
    <x v="15"/>
    <s v="Household Consumption Expenditure"/>
    <n v="6317"/>
    <x v="16"/>
  </r>
  <r>
    <x v="15"/>
    <s v="Household Consumption Expenditure"/>
    <n v="2524"/>
    <x v="17"/>
  </r>
  <r>
    <x v="15"/>
    <s v="Household Consumption Expenditure"/>
    <n v="12283"/>
    <x v="18"/>
  </r>
  <r>
    <x v="15"/>
    <s v="Household Consumption Expenditure"/>
    <n v="532"/>
    <x v="23"/>
  </r>
  <r>
    <x v="15"/>
    <s v="Household Consumption Expenditure"/>
    <n v="4752"/>
    <x v="19"/>
  </r>
  <r>
    <x v="15"/>
    <s v="Household Consumption Expenditure"/>
    <n v="4060"/>
    <x v="20"/>
  </r>
  <r>
    <x v="15"/>
    <s v="Household Consumption Expenditure"/>
    <n v="2611"/>
    <x v="21"/>
  </r>
  <r>
    <x v="15"/>
    <s v="Household Consumption Expenditure"/>
    <n v="5645"/>
    <x v="22"/>
  </r>
  <r>
    <x v="16"/>
    <s v="Household Consumption Expenditure"/>
    <n v="2018"/>
    <x v="13"/>
  </r>
  <r>
    <x v="16"/>
    <s v="Household Consumption Expenditure"/>
    <n v="1334"/>
    <x v="14"/>
  </r>
  <r>
    <x v="16"/>
    <s v="Household Consumption Expenditure"/>
    <n v="966"/>
    <x v="15"/>
  </r>
  <r>
    <x v="16"/>
    <s v="Household Consumption Expenditure"/>
    <n v="6123"/>
    <x v="16"/>
  </r>
  <r>
    <x v="16"/>
    <s v="Household Consumption Expenditure"/>
    <n v="2241"/>
    <x v="17"/>
  </r>
  <r>
    <x v="16"/>
    <s v="Household Consumption Expenditure"/>
    <n v="12309"/>
    <x v="18"/>
  </r>
  <r>
    <x v="16"/>
    <s v="Household Consumption Expenditure"/>
    <n v="518"/>
    <x v="23"/>
  </r>
  <r>
    <x v="16"/>
    <s v="Household Consumption Expenditure"/>
    <n v="4381"/>
    <x v="19"/>
  </r>
  <r>
    <x v="16"/>
    <s v="Household Consumption Expenditure"/>
    <n v="3527"/>
    <x v="20"/>
  </r>
  <r>
    <x v="16"/>
    <s v="Household Consumption Expenditure"/>
    <n v="1963"/>
    <x v="21"/>
  </r>
  <r>
    <x v="16"/>
    <s v="Household Consumption Expenditure"/>
    <n v="3381"/>
    <x v="22"/>
  </r>
  <r>
    <x v="17"/>
    <s v="Household Consumption Expenditure"/>
    <n v="2489"/>
    <x v="13"/>
  </r>
  <r>
    <x v="17"/>
    <s v="Household Consumption Expenditure"/>
    <n v="1826"/>
    <x v="14"/>
  </r>
  <r>
    <x v="17"/>
    <s v="Household Consumption Expenditure"/>
    <n v="973"/>
    <x v="15"/>
  </r>
  <r>
    <x v="17"/>
    <s v="Household Consumption Expenditure"/>
    <n v="6204"/>
    <x v="16"/>
  </r>
  <r>
    <x v="17"/>
    <s v="Household Consumption Expenditure"/>
    <n v="2931"/>
    <x v="17"/>
  </r>
  <r>
    <x v="17"/>
    <s v="Household Consumption Expenditure"/>
    <n v="12583"/>
    <x v="18"/>
  </r>
  <r>
    <x v="17"/>
    <s v="Household Consumption Expenditure"/>
    <n v="507"/>
    <x v="23"/>
  </r>
  <r>
    <x v="17"/>
    <s v="Household Consumption Expenditure"/>
    <n v="4766"/>
    <x v="19"/>
  </r>
  <r>
    <x v="17"/>
    <s v="Household Consumption Expenditure"/>
    <n v="4256"/>
    <x v="20"/>
  </r>
  <r>
    <x v="17"/>
    <s v="Household Consumption Expenditure"/>
    <n v="2990"/>
    <x v="21"/>
  </r>
  <r>
    <x v="17"/>
    <s v="Household Consumption Expenditure"/>
    <n v="4836"/>
    <x v="22"/>
  </r>
  <r>
    <x v="18"/>
    <s v="Household Consumption Expenditure"/>
    <n v="2416"/>
    <x v="13"/>
  </r>
  <r>
    <x v="18"/>
    <s v="Household Consumption Expenditure"/>
    <n v="1909"/>
    <x v="14"/>
  </r>
  <r>
    <x v="18"/>
    <s v="Household Consumption Expenditure"/>
    <n v="980"/>
    <x v="15"/>
  </r>
  <r>
    <x v="18"/>
    <s v="Household Consumption Expenditure"/>
    <n v="6063"/>
    <x v="16"/>
  </r>
  <r>
    <x v="18"/>
    <s v="Household Consumption Expenditure"/>
    <n v="2987"/>
    <x v="17"/>
  </r>
  <r>
    <x v="18"/>
    <s v="Household Consumption Expenditure"/>
    <n v="12797"/>
    <x v="18"/>
  </r>
  <r>
    <x v="18"/>
    <s v="Household Consumption Expenditure"/>
    <n v="483"/>
    <x v="23"/>
  </r>
  <r>
    <x v="18"/>
    <s v="Household Consumption Expenditure"/>
    <n v="4922"/>
    <x v="19"/>
  </r>
  <r>
    <x v="18"/>
    <s v="Household Consumption Expenditure"/>
    <n v="4419"/>
    <x v="20"/>
  </r>
  <r>
    <x v="18"/>
    <s v="Household Consumption Expenditure"/>
    <n v="3397"/>
    <x v="21"/>
  </r>
  <r>
    <x v="18"/>
    <s v="Household Consumption Expenditure"/>
    <n v="4963"/>
    <x v="22"/>
  </r>
  <r>
    <x v="19"/>
    <s v="Household Consumption Expenditure"/>
    <n v="2408"/>
    <x v="13"/>
  </r>
  <r>
    <x v="19"/>
    <s v="Household Consumption Expenditure"/>
    <n v="1994"/>
    <x v="14"/>
  </r>
  <r>
    <x v="19"/>
    <s v="Household Consumption Expenditure"/>
    <n v="1021"/>
    <x v="15"/>
  </r>
  <r>
    <x v="19"/>
    <s v="Household Consumption Expenditure"/>
    <n v="6153"/>
    <x v="16"/>
  </r>
  <r>
    <x v="19"/>
    <s v="Household Consumption Expenditure"/>
    <n v="3082"/>
    <x v="17"/>
  </r>
  <r>
    <x v="19"/>
    <s v="Household Consumption Expenditure"/>
    <n v="13042"/>
    <x v="18"/>
  </r>
  <r>
    <x v="19"/>
    <s v="Household Consumption Expenditure"/>
    <n v="515"/>
    <x v="23"/>
  </r>
  <r>
    <x v="19"/>
    <s v="Household Consumption Expenditure"/>
    <n v="5053"/>
    <x v="19"/>
  </r>
  <r>
    <x v="19"/>
    <s v="Household Consumption Expenditure"/>
    <n v="4872"/>
    <x v="20"/>
  </r>
  <r>
    <x v="19"/>
    <s v="Household Consumption Expenditure"/>
    <n v="4289"/>
    <x v="21"/>
  </r>
  <r>
    <x v="19"/>
    <s v="Household Consumption Expenditure"/>
    <n v="5373"/>
    <x v="22"/>
  </r>
  <r>
    <x v="20"/>
    <s v="Household Consumption Expenditure"/>
    <n v="2457"/>
    <x v="13"/>
  </r>
  <r>
    <x v="20"/>
    <s v="Household Consumption Expenditure"/>
    <n v="2036"/>
    <x v="14"/>
  </r>
  <r>
    <x v="20"/>
    <s v="Household Consumption Expenditure"/>
    <n v="987"/>
    <x v="15"/>
  </r>
  <r>
    <x v="20"/>
    <s v="Household Consumption Expenditure"/>
    <n v="6285"/>
    <x v="16"/>
  </r>
  <r>
    <x v="20"/>
    <s v="Household Consumption Expenditure"/>
    <n v="3205"/>
    <x v="17"/>
  </r>
  <r>
    <x v="20"/>
    <s v="Household Consumption Expenditure"/>
    <n v="13121"/>
    <x v="18"/>
  </r>
  <r>
    <x v="20"/>
    <s v="Household Consumption Expenditure"/>
    <n v="521"/>
    <x v="23"/>
  </r>
  <r>
    <x v="20"/>
    <s v="Household Consumption Expenditure"/>
    <n v="5200"/>
    <x v="19"/>
  </r>
  <r>
    <x v="20"/>
    <s v="Household Consumption Expenditure"/>
    <n v="4858"/>
    <x v="20"/>
  </r>
  <r>
    <x v="20"/>
    <s v="Household Consumption Expenditure"/>
    <n v="3823"/>
    <x v="21"/>
  </r>
  <r>
    <x v="20"/>
    <s v="Household Consumption Expenditure"/>
    <n v="5903"/>
    <x v="22"/>
  </r>
  <r>
    <x v="21"/>
    <s v="Household Consumption Expenditure"/>
    <n v="2324"/>
    <x v="13"/>
  </r>
  <r>
    <x v="21"/>
    <s v="Household Consumption Expenditure"/>
    <n v="1701"/>
    <x v="14"/>
  </r>
  <r>
    <x v="21"/>
    <s v="Household Consumption Expenditure"/>
    <n v="976"/>
    <x v="15"/>
  </r>
  <r>
    <x v="21"/>
    <s v="Household Consumption Expenditure"/>
    <n v="6676"/>
    <x v="16"/>
  </r>
  <r>
    <x v="21"/>
    <s v="Household Consumption Expenditure"/>
    <n v="2749"/>
    <x v="17"/>
  </r>
  <r>
    <x v="21"/>
    <s v="Household Consumption Expenditure"/>
    <n v="13378"/>
    <x v="18"/>
  </r>
  <r>
    <x v="21"/>
    <s v="Household Consumption Expenditure"/>
    <n v="582"/>
    <x v="23"/>
  </r>
  <r>
    <x v="21"/>
    <s v="Household Consumption Expenditure"/>
    <n v="5009"/>
    <x v="19"/>
  </r>
  <r>
    <x v="21"/>
    <s v="Household Consumption Expenditure"/>
    <n v="4278"/>
    <x v="20"/>
  </r>
  <r>
    <x v="21"/>
    <s v="Household Consumption Expenditure"/>
    <n v="2893"/>
    <x v="21"/>
  </r>
  <r>
    <x v="21"/>
    <s v="Household Consumption Expenditure"/>
    <n v="4944"/>
    <x v="22"/>
  </r>
  <r>
    <x v="22"/>
    <s v="Household Consumption Expenditure"/>
    <n v="2467"/>
    <x v="13"/>
  </r>
  <r>
    <x v="22"/>
    <s v="Household Consumption Expenditure"/>
    <n v="2083"/>
    <x v="14"/>
  </r>
  <r>
    <x v="22"/>
    <s v="Household Consumption Expenditure"/>
    <n v="1000"/>
    <x v="15"/>
  </r>
  <r>
    <x v="22"/>
    <s v="Household Consumption Expenditure"/>
    <n v="6586"/>
    <x v="16"/>
  </r>
  <r>
    <x v="22"/>
    <s v="Household Consumption Expenditure"/>
    <n v="3213"/>
    <x v="17"/>
  </r>
  <r>
    <x v="22"/>
    <s v="Household Consumption Expenditure"/>
    <n v="13671"/>
    <x v="18"/>
  </r>
  <r>
    <x v="22"/>
    <s v="Household Consumption Expenditure"/>
    <n v="650"/>
    <x v="23"/>
  </r>
  <r>
    <x v="22"/>
    <s v="Household Consumption Expenditure"/>
    <n v="5389"/>
    <x v="19"/>
  </r>
  <r>
    <x v="22"/>
    <s v="Household Consumption Expenditure"/>
    <n v="4893"/>
    <x v="20"/>
  </r>
  <r>
    <x v="22"/>
    <s v="Household Consumption Expenditure"/>
    <n v="3260"/>
    <x v="21"/>
  </r>
  <r>
    <x v="22"/>
    <s v="Household Consumption Expenditure"/>
    <n v="5382"/>
    <x v="22"/>
  </r>
  <r>
    <x v="23"/>
    <s v="Household Consumption Expenditure"/>
    <n v="2531"/>
    <x v="13"/>
  </r>
  <r>
    <x v="23"/>
    <s v="Household Consumption Expenditure"/>
    <n v="2127"/>
    <x v="14"/>
  </r>
  <r>
    <x v="23"/>
    <s v="Household Consumption Expenditure"/>
    <n v="1042"/>
    <x v="15"/>
  </r>
  <r>
    <x v="23"/>
    <s v="Household Consumption Expenditure"/>
    <n v="6754"/>
    <x v="16"/>
  </r>
  <r>
    <x v="23"/>
    <s v="Household Consumption Expenditure"/>
    <n v="3312"/>
    <x v="17"/>
  </r>
  <r>
    <x v="23"/>
    <s v="Household Consumption Expenditure"/>
    <n v="14058"/>
    <x v="18"/>
  </r>
  <r>
    <x v="23"/>
    <s v="Household Consumption Expenditure"/>
    <n v="601"/>
    <x v="23"/>
  </r>
  <r>
    <x v="23"/>
    <s v="Household Consumption Expenditure"/>
    <n v="5542"/>
    <x v="19"/>
  </r>
  <r>
    <x v="23"/>
    <s v="Household Consumption Expenditure"/>
    <n v="5294"/>
    <x v="20"/>
  </r>
  <r>
    <x v="23"/>
    <s v="Household Consumption Expenditure"/>
    <n v="4130"/>
    <x v="21"/>
  </r>
  <r>
    <x v="23"/>
    <s v="Household Consumption Expenditure"/>
    <n v="6384"/>
    <x v="22"/>
  </r>
  <r>
    <x v="24"/>
    <s v="Household Consumption Expenditure"/>
    <n v="2535"/>
    <x v="13"/>
  </r>
  <r>
    <x v="24"/>
    <s v="Household Consumption Expenditure"/>
    <n v="2134"/>
    <x v="14"/>
  </r>
  <r>
    <x v="24"/>
    <s v="Household Consumption Expenditure"/>
    <n v="1029"/>
    <x v="15"/>
  </r>
  <r>
    <x v="24"/>
    <s v="Household Consumption Expenditure"/>
    <n v="6684"/>
    <x v="16"/>
  </r>
  <r>
    <x v="24"/>
    <s v="Household Consumption Expenditure"/>
    <n v="3196"/>
    <x v="17"/>
  </r>
  <r>
    <x v="24"/>
    <s v="Household Consumption Expenditure"/>
    <n v="14229"/>
    <x v="18"/>
  </r>
  <r>
    <x v="24"/>
    <s v="Household Consumption Expenditure"/>
    <n v="592"/>
    <x v="23"/>
  </r>
  <r>
    <x v="24"/>
    <s v="Household Consumption Expenditure"/>
    <n v="5646"/>
    <x v="19"/>
  </r>
  <r>
    <x v="24"/>
    <s v="Household Consumption Expenditure"/>
    <n v="5234"/>
    <x v="20"/>
  </r>
  <r>
    <x v="24"/>
    <s v="Household Consumption Expenditure"/>
    <n v="3917"/>
    <x v="21"/>
  </r>
  <r>
    <x v="24"/>
    <s v="Household Consumption Expenditure"/>
    <n v="6277"/>
    <x v="22"/>
  </r>
  <r>
    <x v="25"/>
    <s v="Household Consumption Expenditure"/>
    <n v="2577"/>
    <x v="13"/>
  </r>
  <r>
    <x v="25"/>
    <s v="Household Consumption Expenditure"/>
    <n v="2162"/>
    <x v="14"/>
  </r>
  <r>
    <x v="25"/>
    <s v="Household Consumption Expenditure"/>
    <n v="1037"/>
    <x v="15"/>
  </r>
  <r>
    <x v="25"/>
    <s v="Household Consumption Expenditure"/>
    <n v="6877"/>
    <x v="16"/>
  </r>
  <r>
    <x v="25"/>
    <s v="Household Consumption Expenditure"/>
    <n v="3185"/>
    <x v="17"/>
  </r>
  <r>
    <x v="25"/>
    <s v="Household Consumption Expenditure"/>
    <n v="14471"/>
    <x v="18"/>
  </r>
  <r>
    <x v="25"/>
    <s v="Household Consumption Expenditure"/>
    <n v="573"/>
    <x v="23"/>
  </r>
  <r>
    <x v="25"/>
    <s v="Household Consumption Expenditure"/>
    <n v="5858"/>
    <x v="19"/>
  </r>
  <r>
    <x v="25"/>
    <s v="Household Consumption Expenditure"/>
    <n v="5049"/>
    <x v="20"/>
  </r>
  <r>
    <x v="25"/>
    <s v="Household Consumption Expenditure"/>
    <n v="3949"/>
    <x v="21"/>
  </r>
  <r>
    <x v="25"/>
    <s v="Household Consumption Expenditure"/>
    <n v="7141"/>
    <x v="22"/>
  </r>
  <r>
    <x v="26"/>
    <s v="Household Consumption Expenditure"/>
    <n v="2682"/>
    <x v="13"/>
  </r>
  <r>
    <x v="26"/>
    <s v="Household Consumption Expenditure"/>
    <n v="2188"/>
    <x v="14"/>
  </r>
  <r>
    <x v="26"/>
    <s v="Household Consumption Expenditure"/>
    <n v="1030"/>
    <x v="15"/>
  </r>
  <r>
    <x v="26"/>
    <s v="Household Consumption Expenditure"/>
    <n v="7170"/>
    <x v="16"/>
  </r>
  <r>
    <x v="26"/>
    <s v="Household Consumption Expenditure"/>
    <n v="3142"/>
    <x v="17"/>
  </r>
  <r>
    <x v="26"/>
    <s v="Household Consumption Expenditure"/>
    <n v="14765"/>
    <x v="18"/>
  </r>
  <r>
    <x v="26"/>
    <s v="Household Consumption Expenditure"/>
    <n v="586"/>
    <x v="23"/>
  </r>
  <r>
    <x v="26"/>
    <s v="Household Consumption Expenditure"/>
    <n v="5962"/>
    <x v="19"/>
  </r>
  <r>
    <x v="26"/>
    <s v="Household Consumption Expenditure"/>
    <n v="5251"/>
    <x v="20"/>
  </r>
  <r>
    <x v="26"/>
    <s v="Household Consumption Expenditure"/>
    <n v="3981"/>
    <x v="21"/>
  </r>
  <r>
    <x v="26"/>
    <s v="Household Consumption Expenditure"/>
    <n v="7358"/>
    <x v="22"/>
  </r>
  <r>
    <x v="27"/>
    <s v="Household Consumption Expenditure"/>
    <n v="2562"/>
    <x v="13"/>
  </r>
  <r>
    <x v="27"/>
    <s v="Household Consumption Expenditure"/>
    <n v="2195"/>
    <x v="14"/>
  </r>
  <r>
    <x v="27"/>
    <s v="Household Consumption Expenditure"/>
    <n v="1019"/>
    <x v="15"/>
  </r>
  <r>
    <x v="27"/>
    <s v="Household Consumption Expenditure"/>
    <n v="7276"/>
    <x v="16"/>
  </r>
  <r>
    <x v="27"/>
    <s v="Household Consumption Expenditure"/>
    <n v="3210"/>
    <x v="17"/>
  </r>
  <r>
    <x v="27"/>
    <s v="Household Consumption Expenditure"/>
    <n v="15066"/>
    <x v="18"/>
  </r>
  <r>
    <x v="27"/>
    <s v="Household Consumption Expenditure"/>
    <n v="600"/>
    <x v="23"/>
  </r>
  <r>
    <x v="27"/>
    <s v="Household Consumption Expenditure"/>
    <n v="6132"/>
    <x v="19"/>
  </r>
  <r>
    <x v="27"/>
    <s v="Household Consumption Expenditure"/>
    <n v="5440"/>
    <x v="20"/>
  </r>
  <r>
    <x v="27"/>
    <s v="Household Consumption Expenditure"/>
    <n v="4081"/>
    <x v="21"/>
  </r>
  <r>
    <x v="27"/>
    <s v="Household Consumption Expenditure"/>
    <n v="7573"/>
    <x v="22"/>
  </r>
  <r>
    <x v="28"/>
    <s v="Household Consumption Expenditure"/>
    <n v="2579"/>
    <x v="13"/>
  </r>
  <r>
    <x v="28"/>
    <s v="Household Consumption Expenditure"/>
    <n v="2110"/>
    <x v="14"/>
  </r>
  <r>
    <x v="28"/>
    <s v="Household Consumption Expenditure"/>
    <n v="1008"/>
    <x v="15"/>
  </r>
  <r>
    <x v="28"/>
    <s v="Household Consumption Expenditure"/>
    <n v="7373"/>
    <x v="16"/>
  </r>
  <r>
    <x v="28"/>
    <s v="Household Consumption Expenditure"/>
    <n v="3189"/>
    <x v="17"/>
  </r>
  <r>
    <x v="28"/>
    <s v="Household Consumption Expenditure"/>
    <n v="15369"/>
    <x v="18"/>
  </r>
  <r>
    <x v="28"/>
    <s v="Household Consumption Expenditure"/>
    <n v="644"/>
    <x v="23"/>
  </r>
  <r>
    <x v="28"/>
    <s v="Household Consumption Expenditure"/>
    <n v="6292"/>
    <x v="19"/>
  </r>
  <r>
    <x v="28"/>
    <s v="Household Consumption Expenditure"/>
    <n v="5440"/>
    <x v="20"/>
  </r>
  <r>
    <x v="28"/>
    <s v="Household Consumption Expenditure"/>
    <n v="3960"/>
    <x v="21"/>
  </r>
  <r>
    <x v="28"/>
    <s v="Household Consumption Expenditure"/>
    <n v="8089"/>
    <x v="22"/>
  </r>
  <r>
    <x v="29"/>
    <s v="Household Consumption Expenditure"/>
    <n v="2606"/>
    <x v="13"/>
  </r>
  <r>
    <x v="29"/>
    <s v="Household Consumption Expenditure"/>
    <n v="2139"/>
    <x v="14"/>
  </r>
  <r>
    <x v="29"/>
    <s v="Household Consumption Expenditure"/>
    <n v="1014"/>
    <x v="15"/>
  </r>
  <r>
    <x v="29"/>
    <s v="Household Consumption Expenditure"/>
    <n v="7469"/>
    <x v="16"/>
  </r>
  <r>
    <x v="29"/>
    <s v="Household Consumption Expenditure"/>
    <n v="3144"/>
    <x v="17"/>
  </r>
  <r>
    <x v="29"/>
    <s v="Household Consumption Expenditure"/>
    <n v="15671"/>
    <x v="18"/>
  </r>
  <r>
    <x v="29"/>
    <s v="Household Consumption Expenditure"/>
    <n v="662"/>
    <x v="23"/>
  </r>
  <r>
    <x v="29"/>
    <s v="Household Consumption Expenditure"/>
    <n v="6416"/>
    <x v="19"/>
  </r>
  <r>
    <x v="29"/>
    <s v="Household Consumption Expenditure"/>
    <n v="5317"/>
    <x v="20"/>
  </r>
  <r>
    <x v="29"/>
    <s v="Household Consumption Expenditure"/>
    <n v="3926"/>
    <x v="21"/>
  </r>
  <r>
    <x v="29"/>
    <s v="Household Consumption Expenditure"/>
    <n v="7661"/>
    <x v="22"/>
  </r>
  <r>
    <x v="30"/>
    <s v="Household Consumption Expenditure"/>
    <n v="2617"/>
    <x v="13"/>
  </r>
  <r>
    <x v="30"/>
    <s v="Household Consumption Expenditure"/>
    <n v="2078"/>
    <x v="14"/>
  </r>
  <r>
    <x v="30"/>
    <s v="Household Consumption Expenditure"/>
    <n v="1012"/>
    <x v="15"/>
  </r>
  <r>
    <x v="30"/>
    <s v="Household Consumption Expenditure"/>
    <n v="7509"/>
    <x v="16"/>
  </r>
  <r>
    <x v="30"/>
    <s v="Household Consumption Expenditure"/>
    <n v="3094"/>
    <x v="17"/>
  </r>
  <r>
    <x v="30"/>
    <s v="Household Consumption Expenditure"/>
    <n v="15948"/>
    <x v="18"/>
  </r>
  <r>
    <x v="30"/>
    <s v="Household Consumption Expenditure"/>
    <n v="691"/>
    <x v="23"/>
  </r>
  <r>
    <x v="30"/>
    <s v="Household Consumption Expenditure"/>
    <n v="6483"/>
    <x v="19"/>
  </r>
  <r>
    <x v="30"/>
    <s v="Household Consumption Expenditure"/>
    <n v="5245"/>
    <x v="20"/>
  </r>
  <r>
    <x v="30"/>
    <s v="Household Consumption Expenditure"/>
    <n v="3934"/>
    <x v="21"/>
  </r>
  <r>
    <x v="30"/>
    <s v="Household Consumption Expenditure"/>
    <n v="7837"/>
    <x v="22"/>
  </r>
  <r>
    <x v="31"/>
    <s v="Household Consumption Expenditure"/>
    <n v="2643"/>
    <x v="13"/>
  </r>
  <r>
    <x v="31"/>
    <s v="Household Consumption Expenditure"/>
    <n v="2014"/>
    <x v="14"/>
  </r>
  <r>
    <x v="31"/>
    <s v="Household Consumption Expenditure"/>
    <n v="980"/>
    <x v="15"/>
  </r>
  <r>
    <x v="31"/>
    <s v="Household Consumption Expenditure"/>
    <n v="7533"/>
    <x v="16"/>
  </r>
  <r>
    <x v="31"/>
    <s v="Household Consumption Expenditure"/>
    <n v="3075"/>
    <x v="17"/>
  </r>
  <r>
    <x v="31"/>
    <s v="Household Consumption Expenditure"/>
    <n v="16210"/>
    <x v="18"/>
  </r>
  <r>
    <x v="31"/>
    <s v="Household Consumption Expenditure"/>
    <n v="721"/>
    <x v="23"/>
  </r>
  <r>
    <x v="31"/>
    <s v="Household Consumption Expenditure"/>
    <n v="6542"/>
    <x v="19"/>
  </r>
  <r>
    <x v="31"/>
    <s v="Household Consumption Expenditure"/>
    <n v="5277"/>
    <x v="20"/>
  </r>
  <r>
    <x v="31"/>
    <s v="Household Consumption Expenditure"/>
    <n v="4096"/>
    <x v="21"/>
  </r>
  <r>
    <x v="31"/>
    <s v="Household Consumption Expenditure"/>
    <n v="7583"/>
    <x v="22"/>
  </r>
  <r>
    <x v="32"/>
    <s v="Household Consumption Expenditure"/>
    <n v="2654"/>
    <x v="13"/>
  </r>
  <r>
    <x v="32"/>
    <s v="Household Consumption Expenditure"/>
    <n v="2038"/>
    <x v="14"/>
  </r>
  <r>
    <x v="32"/>
    <s v="Household Consumption Expenditure"/>
    <n v="1000"/>
    <x v="15"/>
  </r>
  <r>
    <x v="32"/>
    <s v="Household Consumption Expenditure"/>
    <n v="7631"/>
    <x v="16"/>
  </r>
  <r>
    <x v="32"/>
    <s v="Household Consumption Expenditure"/>
    <n v="3074"/>
    <x v="17"/>
  </r>
  <r>
    <x v="32"/>
    <s v="Household Consumption Expenditure"/>
    <n v="16504"/>
    <x v="18"/>
  </r>
  <r>
    <x v="32"/>
    <s v="Household Consumption Expenditure"/>
    <n v="723"/>
    <x v="23"/>
  </r>
  <r>
    <x v="32"/>
    <s v="Household Consumption Expenditure"/>
    <n v="6630"/>
    <x v="19"/>
  </r>
  <r>
    <x v="32"/>
    <s v="Household Consumption Expenditure"/>
    <n v="5460"/>
    <x v="20"/>
  </r>
  <r>
    <x v="32"/>
    <s v="Household Consumption Expenditure"/>
    <n v="3834"/>
    <x v="21"/>
  </r>
  <r>
    <x v="32"/>
    <s v="Household Consumption Expenditure"/>
    <n v="7377"/>
    <x v="22"/>
  </r>
  <r>
    <x v="33"/>
    <s v="Household Consumption Expenditure"/>
    <n v="2652"/>
    <x v="13"/>
  </r>
  <r>
    <x v="33"/>
    <s v="Household Consumption Expenditure"/>
    <n v="2035"/>
    <x v="14"/>
  </r>
  <r>
    <x v="33"/>
    <s v="Household Consumption Expenditure"/>
    <n v="1008"/>
    <x v="15"/>
  </r>
  <r>
    <x v="33"/>
    <s v="Household Consumption Expenditure"/>
    <n v="7602"/>
    <x v="16"/>
  </r>
  <r>
    <x v="33"/>
    <s v="Household Consumption Expenditure"/>
    <n v="3089"/>
    <x v="17"/>
  </r>
  <r>
    <x v="33"/>
    <s v="Household Consumption Expenditure"/>
    <n v="16734"/>
    <x v="18"/>
  </r>
  <r>
    <x v="33"/>
    <s v="Household Consumption Expenditure"/>
    <n v="712"/>
    <x v="23"/>
  </r>
  <r>
    <x v="33"/>
    <s v="Household Consumption Expenditure"/>
    <n v="6709"/>
    <x v="19"/>
  </r>
  <r>
    <x v="33"/>
    <s v="Household Consumption Expenditure"/>
    <n v="5464"/>
    <x v="20"/>
  </r>
  <r>
    <x v="33"/>
    <s v="Household Consumption Expenditure"/>
    <n v="3775"/>
    <x v="21"/>
  </r>
  <r>
    <x v="33"/>
    <s v="Household Consumption Expenditure"/>
    <n v="7378"/>
    <x v="22"/>
  </r>
  <r>
    <x v="34"/>
    <s v="Household Consumption Expenditure"/>
    <n v="2658"/>
    <x v="13"/>
  </r>
  <r>
    <x v="34"/>
    <s v="Household Consumption Expenditure"/>
    <n v="2047"/>
    <x v="14"/>
  </r>
  <r>
    <x v="34"/>
    <s v="Household Consumption Expenditure"/>
    <n v="988"/>
    <x v="15"/>
  </r>
  <r>
    <x v="34"/>
    <s v="Household Consumption Expenditure"/>
    <n v="7623"/>
    <x v="16"/>
  </r>
  <r>
    <x v="34"/>
    <s v="Household Consumption Expenditure"/>
    <n v="3126"/>
    <x v="17"/>
  </r>
  <r>
    <x v="34"/>
    <s v="Household Consumption Expenditure"/>
    <n v="16918"/>
    <x v="18"/>
  </r>
  <r>
    <x v="34"/>
    <s v="Household Consumption Expenditure"/>
    <n v="726"/>
    <x v="23"/>
  </r>
  <r>
    <x v="34"/>
    <s v="Household Consumption Expenditure"/>
    <n v="6757"/>
    <x v="19"/>
  </r>
  <r>
    <x v="34"/>
    <s v="Household Consumption Expenditure"/>
    <n v="5517"/>
    <x v="20"/>
  </r>
  <r>
    <x v="34"/>
    <s v="Household Consumption Expenditure"/>
    <n v="3906"/>
    <x v="21"/>
  </r>
  <r>
    <x v="34"/>
    <s v="Household Consumption Expenditure"/>
    <n v="7334"/>
    <x v="22"/>
  </r>
  <r>
    <x v="35"/>
    <s v="Household Consumption Expenditure"/>
    <n v="2638"/>
    <x v="13"/>
  </r>
  <r>
    <x v="35"/>
    <s v="Household Consumption Expenditure"/>
    <n v="2072"/>
    <x v="14"/>
  </r>
  <r>
    <x v="35"/>
    <s v="Household Consumption Expenditure"/>
    <n v="971"/>
    <x v="15"/>
  </r>
  <r>
    <x v="35"/>
    <s v="Household Consumption Expenditure"/>
    <n v="7718"/>
    <x v="16"/>
  </r>
  <r>
    <x v="35"/>
    <s v="Household Consumption Expenditure"/>
    <n v="3153"/>
    <x v="17"/>
  </r>
  <r>
    <x v="35"/>
    <s v="Household Consumption Expenditure"/>
    <n v="17122"/>
    <x v="18"/>
  </r>
  <r>
    <x v="35"/>
    <s v="Household Consumption Expenditure"/>
    <n v="748"/>
    <x v="23"/>
  </r>
  <r>
    <x v="35"/>
    <s v="Household Consumption Expenditure"/>
    <n v="6818"/>
    <x v="19"/>
  </r>
  <r>
    <x v="35"/>
    <s v="Household Consumption Expenditure"/>
    <n v="5725"/>
    <x v="20"/>
  </r>
  <r>
    <x v="35"/>
    <s v="Household Consumption Expenditure"/>
    <n v="4138"/>
    <x v="21"/>
  </r>
  <r>
    <x v="35"/>
    <s v="Household Consumption Expenditure"/>
    <n v="7705"/>
    <x v="22"/>
  </r>
  <r>
    <x v="36"/>
    <s v="Household Consumption Expenditure"/>
    <n v="2657"/>
    <x v="13"/>
  </r>
  <r>
    <x v="36"/>
    <s v="Household Consumption Expenditure"/>
    <n v="2063"/>
    <x v="14"/>
  </r>
  <r>
    <x v="36"/>
    <s v="Household Consumption Expenditure"/>
    <n v="993"/>
    <x v="15"/>
  </r>
  <r>
    <x v="36"/>
    <s v="Household Consumption Expenditure"/>
    <n v="7867"/>
    <x v="16"/>
  </r>
  <r>
    <x v="36"/>
    <s v="Household Consumption Expenditure"/>
    <n v="3186"/>
    <x v="17"/>
  </r>
  <r>
    <x v="36"/>
    <s v="Household Consumption Expenditure"/>
    <n v="17332"/>
    <x v="18"/>
  </r>
  <r>
    <x v="36"/>
    <s v="Household Consumption Expenditure"/>
    <n v="758"/>
    <x v="23"/>
  </r>
  <r>
    <x v="36"/>
    <s v="Household Consumption Expenditure"/>
    <n v="6898"/>
    <x v="19"/>
  </r>
  <r>
    <x v="36"/>
    <s v="Household Consumption Expenditure"/>
    <n v="5899"/>
    <x v="20"/>
  </r>
  <r>
    <x v="36"/>
    <s v="Household Consumption Expenditure"/>
    <n v="3982"/>
    <x v="21"/>
  </r>
  <r>
    <x v="36"/>
    <s v="Household Consumption Expenditure"/>
    <n v="7657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57C47-1705-4522-BABA-A3E227A76152}" name="PivotTable1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V157" firstHeaderRow="1" firstDataRow="2" firstDataCol="1"/>
  <pivotFields count="7">
    <pivotField axis="axisRow" numFmtId="14" showAll="0">
      <items count="154"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axis="axisCol" showAll="0">
      <items count="25">
        <item x="0"/>
        <item x="7"/>
        <item x="2"/>
        <item x="6"/>
        <item x="9"/>
        <item x="5"/>
        <item x="3"/>
        <item x="4"/>
        <item x="8"/>
        <item x="1"/>
        <item x="13"/>
        <item x="14"/>
        <item x="15"/>
        <item h="1" x="12"/>
        <item x="16"/>
        <item x="17"/>
        <item x="18"/>
        <item x="23"/>
        <item x="19"/>
        <item x="20"/>
        <item x="21"/>
        <item h="1" x="10"/>
        <item h="1" x="11"/>
        <item x="2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42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t="default"/>
      </items>
    </pivotField>
  </pivotFields>
  <rowFields count="1">
    <field x="0"/>
  </rowFields>
  <rowItems count="1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</rowItems>
  <colFields count="1">
    <field x="3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3"/>
    </i>
  </colItems>
  <dataFields count="1">
    <dataField name="Sum of Value" fld="2" baseField="0" baseItem="0"/>
  </dataFields>
  <formats count="5">
    <format dxfId="2">
      <pivotArea field="6" type="button" dataOnly="0" labelOnly="1" outline="0"/>
    </format>
    <format dxfId="3">
      <pivotArea dataOnly="0" labelOnly="1" fieldPosition="0">
        <references count="1">
          <reference field="3" count="0"/>
        </references>
      </pivotArea>
    </format>
    <format dxfId="4">
      <pivotArea dataOnly="0" labelOnly="1" grandCol="1" outline="0" fieldPosition="0"/>
    </format>
    <format dxfId="1">
      <pivotArea outline="0" collapsedLevelsAreSubtotals="1" fieldPosition="0">
        <references count="1">
          <reference field="3" count="1" selected="0">
            <x v="6"/>
          </reference>
        </references>
      </pivotArea>
    </format>
    <format dxfId="0">
      <pivotArea outline="0" collapsedLevelsAreSubtotals="1" fieldPosition="0">
        <references count="1">
          <reference field="3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B636-7A2E-42C5-A989-145AAA7B4427}">
  <dimension ref="A3:AP323"/>
  <sheetViews>
    <sheetView tabSelected="1" topLeftCell="A165" zoomScale="85" zoomScaleNormal="85" workbookViewId="0">
      <pane xSplit="1" ySplit="1" topLeftCell="B166" activePane="bottomRight" state="frozen"/>
      <selection activeCell="A165" sqref="A165"/>
      <selection pane="topRight" activeCell="B165" sqref="B165"/>
      <selection pane="bottomLeft" activeCell="A166" sqref="A166"/>
      <selection pane="bottomRight" activeCell="A166" sqref="A166"/>
    </sheetView>
  </sheetViews>
  <sheetFormatPr defaultColWidth="12.109375" defaultRowHeight="14.4" x14ac:dyDescent="0.3"/>
  <cols>
    <col min="1" max="1" width="13.21875" bestFit="1" customWidth="1"/>
    <col min="2" max="2" width="16.77734375" customWidth="1"/>
    <col min="3" max="3" width="10.109375" customWidth="1"/>
    <col min="4" max="4" width="16.5546875" customWidth="1"/>
    <col min="5" max="5" width="12.6640625" customWidth="1"/>
    <col min="6" max="6" width="15" bestFit="1" customWidth="1"/>
    <col min="7" max="7" width="16.44140625" bestFit="1" customWidth="1"/>
    <col min="8" max="8" width="13.6640625" style="10" bestFit="1" customWidth="1"/>
    <col min="9" max="9" width="21.88671875" bestFit="1" customWidth="1"/>
    <col min="10" max="10" width="22.109375" bestFit="1" customWidth="1"/>
    <col min="11" max="11" width="14" customWidth="1"/>
    <col min="12" max="12" width="17.6640625" bestFit="1" customWidth="1"/>
    <col min="13" max="13" width="11.77734375" style="10" bestFit="1" customWidth="1"/>
    <col min="14" max="14" width="14.88671875" bestFit="1" customWidth="1"/>
    <col min="15" max="16" width="12.109375" bestFit="1" customWidth="1"/>
    <col min="17" max="17" width="11.5546875" bestFit="1" customWidth="1"/>
    <col min="18" max="18" width="20.44140625" bestFit="1" customWidth="1"/>
    <col min="19" max="19" width="12.88671875" bestFit="1" customWidth="1"/>
    <col min="20" max="20" width="20.44140625" bestFit="1" customWidth="1"/>
    <col min="21" max="21" width="20.88671875" bestFit="1" customWidth="1"/>
    <col min="22" max="22" width="9.21875" bestFit="1" customWidth="1"/>
    <col min="23" max="23" width="10.6640625" bestFit="1" customWidth="1"/>
    <col min="24" max="24" width="9.21875" bestFit="1" customWidth="1"/>
    <col min="25" max="25" width="8.6640625" style="10" bestFit="1" customWidth="1"/>
    <col min="26" max="26" width="10.6640625" bestFit="1" customWidth="1"/>
    <col min="27" max="27" width="12.109375" style="10"/>
  </cols>
  <sheetData>
    <row r="3" spans="1:27" x14ac:dyDescent="0.3">
      <c r="A3" s="2" t="s">
        <v>31</v>
      </c>
      <c r="B3" s="2" t="s">
        <v>30</v>
      </c>
    </row>
    <row r="4" spans="1:27" s="6" customFormat="1" ht="43.2" x14ac:dyDescent="0.3">
      <c r="A4" s="2" t="s">
        <v>29</v>
      </c>
      <c r="B4" s="6" t="s">
        <v>4</v>
      </c>
      <c r="C4" s="6" t="s">
        <v>11</v>
      </c>
      <c r="D4" s="6" t="s">
        <v>6</v>
      </c>
      <c r="E4" s="6" t="s">
        <v>10</v>
      </c>
      <c r="F4" s="6" t="s">
        <v>13</v>
      </c>
      <c r="G4" s="6" t="s">
        <v>9</v>
      </c>
      <c r="H4" s="11" t="s">
        <v>7</v>
      </c>
      <c r="I4" s="6" t="s">
        <v>8</v>
      </c>
      <c r="J4" s="6" t="s">
        <v>12</v>
      </c>
      <c r="K4" s="6" t="s">
        <v>5</v>
      </c>
      <c r="L4" s="6" t="s">
        <v>18</v>
      </c>
      <c r="M4" s="11" t="s">
        <v>19</v>
      </c>
      <c r="N4" s="6" t="s">
        <v>20</v>
      </c>
      <c r="O4" s="6" t="s">
        <v>21</v>
      </c>
      <c r="P4" s="6" t="s">
        <v>22</v>
      </c>
      <c r="Q4" s="6" t="s">
        <v>23</v>
      </c>
      <c r="R4" s="6" t="s">
        <v>28</v>
      </c>
      <c r="S4" s="6" t="s">
        <v>24</v>
      </c>
      <c r="T4" s="6" t="s">
        <v>25</v>
      </c>
      <c r="U4" s="6" t="s">
        <v>26</v>
      </c>
      <c r="V4" s="6" t="s">
        <v>27</v>
      </c>
      <c r="W4"/>
      <c r="X4"/>
      <c r="Y4" s="10"/>
      <c r="Z4"/>
      <c r="AA4" s="11"/>
    </row>
    <row r="5" spans="1:27" x14ac:dyDescent="0.3">
      <c r="A5" s="3">
        <v>31958</v>
      </c>
      <c r="B5" s="5"/>
      <c r="C5" s="5"/>
      <c r="D5" s="5"/>
      <c r="E5" s="5"/>
      <c r="F5" s="5"/>
      <c r="G5" s="5"/>
      <c r="H5" s="12"/>
      <c r="I5" s="5"/>
      <c r="J5" s="5"/>
      <c r="K5" s="5"/>
      <c r="L5" s="5">
        <v>502</v>
      </c>
      <c r="M5" s="12">
        <v>528</v>
      </c>
      <c r="N5" s="5">
        <v>169</v>
      </c>
      <c r="O5" s="5">
        <v>1222</v>
      </c>
      <c r="P5" s="5">
        <v>693</v>
      </c>
      <c r="Q5" s="5">
        <v>1888</v>
      </c>
      <c r="R5" s="5"/>
      <c r="S5" s="5">
        <v>738</v>
      </c>
      <c r="T5" s="5">
        <v>845</v>
      </c>
      <c r="U5" s="5">
        <v>608</v>
      </c>
      <c r="V5" s="5">
        <v>1506</v>
      </c>
    </row>
    <row r="6" spans="1:27" x14ac:dyDescent="0.3">
      <c r="A6" s="3">
        <v>32050</v>
      </c>
      <c r="B6" s="5"/>
      <c r="C6" s="5"/>
      <c r="D6" s="5"/>
      <c r="E6" s="5"/>
      <c r="F6" s="5"/>
      <c r="G6" s="5"/>
      <c r="H6" s="12"/>
      <c r="I6" s="5"/>
      <c r="J6" s="5"/>
      <c r="K6" s="5"/>
      <c r="L6" s="5">
        <v>508</v>
      </c>
      <c r="M6" s="12">
        <v>522</v>
      </c>
      <c r="N6" s="5">
        <v>176</v>
      </c>
      <c r="O6" s="5">
        <v>1250</v>
      </c>
      <c r="P6" s="5">
        <v>685</v>
      </c>
      <c r="Q6" s="5">
        <v>1951</v>
      </c>
      <c r="R6" s="5"/>
      <c r="S6" s="5">
        <v>776</v>
      </c>
      <c r="T6" s="5">
        <v>847</v>
      </c>
      <c r="U6" s="5">
        <v>604</v>
      </c>
      <c r="V6" s="5">
        <v>1558</v>
      </c>
    </row>
    <row r="7" spans="1:27" x14ac:dyDescent="0.3">
      <c r="A7" s="3">
        <v>32142</v>
      </c>
      <c r="B7" s="5"/>
      <c r="C7" s="5"/>
      <c r="D7" s="5"/>
      <c r="E7" s="5"/>
      <c r="F7" s="5"/>
      <c r="G7" s="5"/>
      <c r="H7" s="12"/>
      <c r="I7" s="5"/>
      <c r="J7" s="5"/>
      <c r="K7" s="5"/>
      <c r="L7" s="5">
        <v>521</v>
      </c>
      <c r="M7" s="12">
        <v>537</v>
      </c>
      <c r="N7" s="5">
        <v>186</v>
      </c>
      <c r="O7" s="5">
        <v>1279</v>
      </c>
      <c r="P7" s="5">
        <v>687</v>
      </c>
      <c r="Q7" s="5">
        <v>2040</v>
      </c>
      <c r="R7" s="5"/>
      <c r="S7" s="5">
        <v>821</v>
      </c>
      <c r="T7" s="5">
        <v>877</v>
      </c>
      <c r="U7" s="5">
        <v>628</v>
      </c>
      <c r="V7" s="5">
        <v>1518</v>
      </c>
    </row>
    <row r="8" spans="1:27" x14ac:dyDescent="0.3">
      <c r="A8" s="3">
        <v>32233</v>
      </c>
      <c r="B8" s="5"/>
      <c r="C8" s="5"/>
      <c r="D8" s="5"/>
      <c r="E8" s="5"/>
      <c r="F8" s="5"/>
      <c r="G8" s="5"/>
      <c r="H8" s="12"/>
      <c r="I8" s="5"/>
      <c r="J8" s="5"/>
      <c r="K8" s="5"/>
      <c r="L8" s="5">
        <v>523</v>
      </c>
      <c r="M8" s="12">
        <v>524</v>
      </c>
      <c r="N8" s="5">
        <v>193</v>
      </c>
      <c r="O8" s="5">
        <v>1291</v>
      </c>
      <c r="P8" s="5">
        <v>678</v>
      </c>
      <c r="Q8" s="5">
        <v>2148</v>
      </c>
      <c r="R8" s="5"/>
      <c r="S8" s="5">
        <v>850</v>
      </c>
      <c r="T8" s="5">
        <v>889</v>
      </c>
      <c r="U8" s="5">
        <v>616</v>
      </c>
      <c r="V8" s="5">
        <v>1482</v>
      </c>
    </row>
    <row r="9" spans="1:27" x14ac:dyDescent="0.3">
      <c r="A9" s="3">
        <v>32324</v>
      </c>
      <c r="B9" s="5"/>
      <c r="C9" s="5"/>
      <c r="D9" s="5"/>
      <c r="E9" s="5"/>
      <c r="F9" s="5"/>
      <c r="G9" s="5"/>
      <c r="H9" s="12"/>
      <c r="I9" s="5"/>
      <c r="J9" s="5"/>
      <c r="K9" s="5"/>
      <c r="L9" s="5">
        <v>528</v>
      </c>
      <c r="M9" s="12">
        <v>512</v>
      </c>
      <c r="N9" s="5">
        <v>199</v>
      </c>
      <c r="O9" s="5">
        <v>1292</v>
      </c>
      <c r="P9" s="5">
        <v>667</v>
      </c>
      <c r="Q9" s="5">
        <v>2259</v>
      </c>
      <c r="R9" s="5"/>
      <c r="S9" s="5">
        <v>852</v>
      </c>
      <c r="T9" s="5">
        <v>900</v>
      </c>
      <c r="U9" s="5">
        <v>603</v>
      </c>
      <c r="V9" s="5">
        <v>1489</v>
      </c>
    </row>
    <row r="10" spans="1:27" x14ac:dyDescent="0.3">
      <c r="A10" s="3">
        <v>32416</v>
      </c>
      <c r="B10" s="5"/>
      <c r="C10" s="5"/>
      <c r="D10" s="5"/>
      <c r="E10" s="5"/>
      <c r="F10" s="5"/>
      <c r="G10" s="5"/>
      <c r="H10" s="12"/>
      <c r="I10" s="5"/>
      <c r="J10" s="5"/>
      <c r="K10" s="5"/>
      <c r="L10" s="5">
        <v>550</v>
      </c>
      <c r="M10" s="12">
        <v>519</v>
      </c>
      <c r="N10" s="5">
        <v>209</v>
      </c>
      <c r="O10" s="5">
        <v>1349</v>
      </c>
      <c r="P10" s="5">
        <v>683</v>
      </c>
      <c r="Q10" s="5">
        <v>2370</v>
      </c>
      <c r="R10" s="5"/>
      <c r="S10" s="5">
        <v>873</v>
      </c>
      <c r="T10" s="5">
        <v>944</v>
      </c>
      <c r="U10" s="5">
        <v>634</v>
      </c>
      <c r="V10" s="5">
        <v>1594</v>
      </c>
    </row>
    <row r="11" spans="1:27" x14ac:dyDescent="0.3">
      <c r="A11" s="3">
        <v>32508</v>
      </c>
      <c r="B11" s="5"/>
      <c r="C11" s="5"/>
      <c r="D11" s="5"/>
      <c r="E11" s="5"/>
      <c r="F11" s="5"/>
      <c r="G11" s="5"/>
      <c r="H11" s="12"/>
      <c r="I11" s="5"/>
      <c r="J11" s="5"/>
      <c r="K11" s="5"/>
      <c r="L11" s="5">
        <v>555</v>
      </c>
      <c r="M11" s="12">
        <v>515</v>
      </c>
      <c r="N11" s="5">
        <v>195</v>
      </c>
      <c r="O11" s="5">
        <v>1355</v>
      </c>
      <c r="P11" s="5">
        <v>684</v>
      </c>
      <c r="Q11" s="5">
        <v>2441</v>
      </c>
      <c r="R11" s="5"/>
      <c r="S11" s="5">
        <v>878</v>
      </c>
      <c r="T11" s="5">
        <v>956</v>
      </c>
      <c r="U11" s="5">
        <v>630</v>
      </c>
      <c r="V11" s="5">
        <v>1650</v>
      </c>
    </row>
    <row r="12" spans="1:27" x14ac:dyDescent="0.3">
      <c r="A12" s="3">
        <v>32598</v>
      </c>
      <c r="B12" s="5"/>
      <c r="C12" s="5"/>
      <c r="D12" s="5"/>
      <c r="E12" s="5"/>
      <c r="F12" s="5"/>
      <c r="G12" s="5"/>
      <c r="H12" s="12"/>
      <c r="I12" s="5"/>
      <c r="J12" s="5"/>
      <c r="K12" s="5"/>
      <c r="L12" s="5">
        <v>563</v>
      </c>
      <c r="M12" s="12">
        <v>514</v>
      </c>
      <c r="N12" s="5">
        <v>216</v>
      </c>
      <c r="O12" s="5">
        <v>1372</v>
      </c>
      <c r="P12" s="5">
        <v>688</v>
      </c>
      <c r="Q12" s="5">
        <v>2473</v>
      </c>
      <c r="R12" s="5"/>
      <c r="S12" s="5">
        <v>872</v>
      </c>
      <c r="T12" s="5">
        <v>977</v>
      </c>
      <c r="U12" s="5">
        <v>627</v>
      </c>
      <c r="V12" s="5">
        <v>1737</v>
      </c>
    </row>
    <row r="13" spans="1:27" x14ac:dyDescent="0.3">
      <c r="A13" s="3">
        <v>32689</v>
      </c>
      <c r="B13" s="5"/>
      <c r="C13" s="5"/>
      <c r="D13" s="5"/>
      <c r="E13" s="5"/>
      <c r="F13" s="5"/>
      <c r="G13" s="5"/>
      <c r="H13" s="12"/>
      <c r="I13" s="5"/>
      <c r="J13" s="5"/>
      <c r="K13" s="5"/>
      <c r="L13" s="5">
        <v>594</v>
      </c>
      <c r="M13" s="12">
        <v>585</v>
      </c>
      <c r="N13" s="5">
        <v>229</v>
      </c>
      <c r="O13" s="5">
        <v>1472</v>
      </c>
      <c r="P13" s="5">
        <v>726</v>
      </c>
      <c r="Q13" s="5">
        <v>2505</v>
      </c>
      <c r="R13" s="5"/>
      <c r="S13" s="5">
        <v>887</v>
      </c>
      <c r="T13" s="5">
        <v>1013</v>
      </c>
      <c r="U13" s="5">
        <v>659</v>
      </c>
      <c r="V13" s="5">
        <v>1838</v>
      </c>
    </row>
    <row r="14" spans="1:27" x14ac:dyDescent="0.3">
      <c r="A14" s="3">
        <v>32781</v>
      </c>
      <c r="B14" s="5"/>
      <c r="C14" s="5"/>
      <c r="D14" s="5"/>
      <c r="E14" s="5"/>
      <c r="F14" s="5"/>
      <c r="G14" s="5"/>
      <c r="H14" s="12"/>
      <c r="I14" s="5"/>
      <c r="J14" s="5"/>
      <c r="K14" s="5"/>
      <c r="L14" s="5">
        <v>587</v>
      </c>
      <c r="M14" s="12">
        <v>558</v>
      </c>
      <c r="N14" s="5">
        <v>255</v>
      </c>
      <c r="O14" s="5">
        <v>1422</v>
      </c>
      <c r="P14" s="5">
        <v>692</v>
      </c>
      <c r="Q14" s="5">
        <v>2550</v>
      </c>
      <c r="R14" s="5"/>
      <c r="S14" s="5">
        <v>880</v>
      </c>
      <c r="T14" s="5">
        <v>966</v>
      </c>
      <c r="U14" s="5">
        <v>648</v>
      </c>
      <c r="V14" s="5">
        <v>1644</v>
      </c>
    </row>
    <row r="15" spans="1:27" x14ac:dyDescent="0.3">
      <c r="A15" s="3">
        <v>32873</v>
      </c>
      <c r="B15" s="5"/>
      <c r="C15" s="5"/>
      <c r="D15" s="5"/>
      <c r="E15" s="5"/>
      <c r="F15" s="5"/>
      <c r="G15" s="5"/>
      <c r="H15" s="12"/>
      <c r="I15" s="5"/>
      <c r="J15" s="5"/>
      <c r="K15" s="5"/>
      <c r="L15" s="5">
        <v>604</v>
      </c>
      <c r="M15" s="12">
        <v>550</v>
      </c>
      <c r="N15" s="5">
        <v>273</v>
      </c>
      <c r="O15" s="5">
        <v>1458</v>
      </c>
      <c r="P15" s="5">
        <v>695</v>
      </c>
      <c r="Q15" s="5">
        <v>2592</v>
      </c>
      <c r="R15" s="5"/>
      <c r="S15" s="5">
        <v>879</v>
      </c>
      <c r="T15" s="5">
        <v>976</v>
      </c>
      <c r="U15" s="5">
        <v>616</v>
      </c>
      <c r="V15" s="5">
        <v>1701</v>
      </c>
    </row>
    <row r="16" spans="1:27" x14ac:dyDescent="0.3">
      <c r="A16" s="3">
        <v>32963</v>
      </c>
      <c r="B16" s="5"/>
      <c r="C16" s="5"/>
      <c r="D16" s="5"/>
      <c r="E16" s="5"/>
      <c r="F16" s="5"/>
      <c r="G16" s="5"/>
      <c r="H16" s="12"/>
      <c r="I16" s="5"/>
      <c r="J16" s="5"/>
      <c r="K16" s="5"/>
      <c r="L16" s="5">
        <v>632</v>
      </c>
      <c r="M16" s="12">
        <v>548</v>
      </c>
      <c r="N16" s="5">
        <v>277</v>
      </c>
      <c r="O16" s="5">
        <v>1512</v>
      </c>
      <c r="P16" s="5">
        <v>700</v>
      </c>
      <c r="Q16" s="5">
        <v>2653</v>
      </c>
      <c r="R16" s="5"/>
      <c r="S16" s="5">
        <v>900</v>
      </c>
      <c r="T16" s="5">
        <v>1006</v>
      </c>
      <c r="U16" s="5">
        <v>651</v>
      </c>
      <c r="V16" s="5">
        <v>1725</v>
      </c>
    </row>
    <row r="17" spans="1:22" x14ac:dyDescent="0.3">
      <c r="A17" s="3">
        <v>33054</v>
      </c>
      <c r="B17" s="5"/>
      <c r="C17" s="5"/>
      <c r="D17" s="5"/>
      <c r="E17" s="5"/>
      <c r="F17" s="5"/>
      <c r="G17" s="5"/>
      <c r="H17" s="12"/>
      <c r="I17" s="5"/>
      <c r="J17" s="5"/>
      <c r="K17" s="5"/>
      <c r="L17" s="5">
        <v>658</v>
      </c>
      <c r="M17" s="12">
        <v>555</v>
      </c>
      <c r="N17" s="5">
        <v>278</v>
      </c>
      <c r="O17" s="5">
        <v>1548</v>
      </c>
      <c r="P17" s="5">
        <v>692</v>
      </c>
      <c r="Q17" s="5">
        <v>2711</v>
      </c>
      <c r="R17" s="5"/>
      <c r="S17" s="5">
        <v>930</v>
      </c>
      <c r="T17" s="5">
        <v>1027</v>
      </c>
      <c r="U17" s="5">
        <v>644</v>
      </c>
      <c r="V17" s="5">
        <v>1708</v>
      </c>
    </row>
    <row r="18" spans="1:22" x14ac:dyDescent="0.3">
      <c r="A18" s="3">
        <v>33146</v>
      </c>
      <c r="B18" s="5"/>
      <c r="C18" s="5"/>
      <c r="D18" s="5"/>
      <c r="E18" s="5"/>
      <c r="F18" s="5"/>
      <c r="G18" s="5"/>
      <c r="H18" s="12"/>
      <c r="I18" s="5"/>
      <c r="J18" s="5"/>
      <c r="K18" s="5"/>
      <c r="L18" s="5">
        <v>679</v>
      </c>
      <c r="M18" s="12">
        <v>563</v>
      </c>
      <c r="N18" s="5">
        <v>268</v>
      </c>
      <c r="O18" s="5">
        <v>1573</v>
      </c>
      <c r="P18" s="5">
        <v>688</v>
      </c>
      <c r="Q18" s="5">
        <v>2772</v>
      </c>
      <c r="R18" s="5"/>
      <c r="S18" s="5">
        <v>939</v>
      </c>
      <c r="T18" s="5">
        <v>1035</v>
      </c>
      <c r="U18" s="5">
        <v>645</v>
      </c>
      <c r="V18" s="5">
        <v>1702</v>
      </c>
    </row>
    <row r="19" spans="1:22" x14ac:dyDescent="0.3">
      <c r="A19" s="3">
        <v>33238</v>
      </c>
      <c r="B19" s="5"/>
      <c r="C19" s="5"/>
      <c r="D19" s="5"/>
      <c r="E19" s="5"/>
      <c r="F19" s="5"/>
      <c r="G19" s="5"/>
      <c r="H19" s="12"/>
      <c r="I19" s="5"/>
      <c r="J19" s="5"/>
      <c r="K19" s="5"/>
      <c r="L19" s="5">
        <v>700</v>
      </c>
      <c r="M19" s="12">
        <v>574</v>
      </c>
      <c r="N19" s="5">
        <v>273</v>
      </c>
      <c r="O19" s="5">
        <v>1625</v>
      </c>
      <c r="P19" s="5">
        <v>695</v>
      </c>
      <c r="Q19" s="5">
        <v>2812</v>
      </c>
      <c r="R19" s="5"/>
      <c r="S19" s="5">
        <v>983</v>
      </c>
      <c r="T19" s="5">
        <v>1046</v>
      </c>
      <c r="U19" s="5">
        <v>668</v>
      </c>
      <c r="V19" s="5">
        <v>1866</v>
      </c>
    </row>
    <row r="20" spans="1:22" x14ac:dyDescent="0.3">
      <c r="A20" s="3">
        <v>33328</v>
      </c>
      <c r="B20" s="5"/>
      <c r="C20" s="5"/>
      <c r="D20" s="5"/>
      <c r="E20" s="5"/>
      <c r="F20" s="5"/>
      <c r="G20" s="5"/>
      <c r="H20" s="12"/>
      <c r="I20" s="5"/>
      <c r="J20" s="5"/>
      <c r="K20" s="5"/>
      <c r="L20" s="5">
        <v>693</v>
      </c>
      <c r="M20" s="12">
        <v>582</v>
      </c>
      <c r="N20" s="5">
        <v>279</v>
      </c>
      <c r="O20" s="5">
        <v>1587</v>
      </c>
      <c r="P20" s="5">
        <v>673</v>
      </c>
      <c r="Q20" s="5">
        <v>2846</v>
      </c>
      <c r="R20" s="5"/>
      <c r="S20" s="5">
        <v>974</v>
      </c>
      <c r="T20" s="5">
        <v>1028</v>
      </c>
      <c r="U20" s="5">
        <v>667</v>
      </c>
      <c r="V20" s="5">
        <v>1532</v>
      </c>
    </row>
    <row r="21" spans="1:22" x14ac:dyDescent="0.3">
      <c r="A21" s="3">
        <v>33419</v>
      </c>
      <c r="B21" s="5"/>
      <c r="C21" s="5"/>
      <c r="D21" s="5"/>
      <c r="E21" s="5"/>
      <c r="F21" s="5"/>
      <c r="G21" s="5"/>
      <c r="H21" s="12"/>
      <c r="I21" s="5"/>
      <c r="J21" s="5"/>
      <c r="K21" s="5"/>
      <c r="L21" s="5">
        <v>681</v>
      </c>
      <c r="M21" s="12">
        <v>538</v>
      </c>
      <c r="N21" s="5">
        <v>255</v>
      </c>
      <c r="O21" s="5">
        <v>1574</v>
      </c>
      <c r="P21" s="5">
        <v>671</v>
      </c>
      <c r="Q21" s="5">
        <v>2872</v>
      </c>
      <c r="R21" s="5"/>
      <c r="S21" s="5">
        <v>915</v>
      </c>
      <c r="T21" s="5">
        <v>1018</v>
      </c>
      <c r="U21" s="5">
        <v>623</v>
      </c>
      <c r="V21" s="5">
        <v>1571</v>
      </c>
    </row>
    <row r="22" spans="1:22" x14ac:dyDescent="0.3">
      <c r="A22" s="3">
        <v>33511</v>
      </c>
      <c r="B22" s="5"/>
      <c r="C22" s="5"/>
      <c r="D22" s="5"/>
      <c r="E22" s="5"/>
      <c r="F22" s="5"/>
      <c r="G22" s="5"/>
      <c r="H22" s="12"/>
      <c r="I22" s="5"/>
      <c r="J22" s="5"/>
      <c r="K22" s="5"/>
      <c r="L22" s="5">
        <v>679</v>
      </c>
      <c r="M22" s="12">
        <v>547</v>
      </c>
      <c r="N22" s="5">
        <v>295</v>
      </c>
      <c r="O22" s="5">
        <v>1584</v>
      </c>
      <c r="P22" s="5">
        <v>677</v>
      </c>
      <c r="Q22" s="5">
        <v>2867</v>
      </c>
      <c r="R22" s="5"/>
      <c r="S22" s="5">
        <v>956</v>
      </c>
      <c r="T22" s="5">
        <v>1027</v>
      </c>
      <c r="U22" s="5">
        <v>593</v>
      </c>
      <c r="V22" s="5">
        <v>1645</v>
      </c>
    </row>
    <row r="23" spans="1:22" x14ac:dyDescent="0.3">
      <c r="A23" s="3">
        <v>33603</v>
      </c>
      <c r="B23" s="5"/>
      <c r="C23" s="5"/>
      <c r="D23" s="5"/>
      <c r="E23" s="5"/>
      <c r="F23" s="5"/>
      <c r="G23" s="5"/>
      <c r="H23" s="12"/>
      <c r="I23" s="5"/>
      <c r="J23" s="5"/>
      <c r="K23" s="5"/>
      <c r="L23" s="5">
        <v>671</v>
      </c>
      <c r="M23" s="12">
        <v>560</v>
      </c>
      <c r="N23" s="5">
        <v>305</v>
      </c>
      <c r="O23" s="5">
        <v>1575</v>
      </c>
      <c r="P23" s="5">
        <v>676</v>
      </c>
      <c r="Q23" s="5">
        <v>2885</v>
      </c>
      <c r="R23" s="5"/>
      <c r="S23" s="5">
        <v>953</v>
      </c>
      <c r="T23" s="5">
        <v>1024</v>
      </c>
      <c r="U23" s="5">
        <v>621</v>
      </c>
      <c r="V23" s="5">
        <v>1561</v>
      </c>
    </row>
    <row r="24" spans="1:22" x14ac:dyDescent="0.3">
      <c r="A24" s="3">
        <v>33694</v>
      </c>
      <c r="B24" s="5"/>
      <c r="C24" s="5"/>
      <c r="D24" s="5"/>
      <c r="E24" s="5"/>
      <c r="F24" s="5"/>
      <c r="G24" s="5"/>
      <c r="H24" s="12"/>
      <c r="I24" s="5"/>
      <c r="J24" s="5"/>
      <c r="K24" s="5"/>
      <c r="L24" s="5">
        <v>688</v>
      </c>
      <c r="M24" s="12">
        <v>564</v>
      </c>
      <c r="N24" s="5">
        <v>309</v>
      </c>
      <c r="O24" s="5">
        <v>1632</v>
      </c>
      <c r="P24" s="5">
        <v>694</v>
      </c>
      <c r="Q24" s="5">
        <v>2882</v>
      </c>
      <c r="R24" s="5"/>
      <c r="S24" s="5">
        <v>989</v>
      </c>
      <c r="T24" s="5">
        <v>1031</v>
      </c>
      <c r="U24" s="5">
        <v>611</v>
      </c>
      <c r="V24" s="5">
        <v>1545</v>
      </c>
    </row>
    <row r="25" spans="1:22" x14ac:dyDescent="0.3">
      <c r="A25" s="3">
        <v>33785</v>
      </c>
      <c r="B25" s="5"/>
      <c r="C25" s="5"/>
      <c r="D25" s="5"/>
      <c r="E25" s="5"/>
      <c r="F25" s="5"/>
      <c r="G25" s="5"/>
      <c r="H25" s="12"/>
      <c r="I25" s="5"/>
      <c r="J25" s="5"/>
      <c r="K25" s="5"/>
      <c r="L25" s="5">
        <v>676</v>
      </c>
      <c r="M25" s="12">
        <v>567</v>
      </c>
      <c r="N25" s="5">
        <v>301</v>
      </c>
      <c r="O25" s="5">
        <v>1617</v>
      </c>
      <c r="P25" s="5">
        <v>701</v>
      </c>
      <c r="Q25" s="5">
        <v>2888</v>
      </c>
      <c r="R25" s="5"/>
      <c r="S25" s="5">
        <v>1002</v>
      </c>
      <c r="T25" s="5">
        <v>1041</v>
      </c>
      <c r="U25" s="5">
        <v>607</v>
      </c>
      <c r="V25" s="5">
        <v>1541</v>
      </c>
    </row>
    <row r="26" spans="1:22" x14ac:dyDescent="0.3">
      <c r="A26" s="3">
        <v>33877</v>
      </c>
      <c r="B26" s="5"/>
      <c r="C26" s="5"/>
      <c r="D26" s="5"/>
      <c r="E26" s="5"/>
      <c r="F26" s="5"/>
      <c r="G26" s="5"/>
      <c r="H26" s="12"/>
      <c r="I26" s="5"/>
      <c r="J26" s="5"/>
      <c r="K26" s="5"/>
      <c r="L26" s="5">
        <v>681</v>
      </c>
      <c r="M26" s="12">
        <v>560</v>
      </c>
      <c r="N26" s="5">
        <v>295</v>
      </c>
      <c r="O26" s="5">
        <v>1640</v>
      </c>
      <c r="P26" s="5">
        <v>710</v>
      </c>
      <c r="Q26" s="5">
        <v>2843</v>
      </c>
      <c r="R26" s="5"/>
      <c r="S26" s="5">
        <v>999</v>
      </c>
      <c r="T26" s="5">
        <v>1048</v>
      </c>
      <c r="U26" s="5">
        <v>613</v>
      </c>
      <c r="V26" s="5">
        <v>1549</v>
      </c>
    </row>
    <row r="27" spans="1:22" x14ac:dyDescent="0.3">
      <c r="A27" s="3">
        <v>33969</v>
      </c>
      <c r="B27" s="5"/>
      <c r="C27" s="5"/>
      <c r="D27" s="5"/>
      <c r="E27" s="5"/>
      <c r="F27" s="5"/>
      <c r="G27" s="5"/>
      <c r="H27" s="12"/>
      <c r="I27" s="5"/>
      <c r="J27" s="5"/>
      <c r="K27" s="5"/>
      <c r="L27" s="5">
        <v>692</v>
      </c>
      <c r="M27" s="12">
        <v>554</v>
      </c>
      <c r="N27" s="5">
        <v>298</v>
      </c>
      <c r="O27" s="5">
        <v>1667</v>
      </c>
      <c r="P27" s="5">
        <v>728</v>
      </c>
      <c r="Q27" s="5">
        <v>2905</v>
      </c>
      <c r="R27" s="5"/>
      <c r="S27" s="5">
        <v>999</v>
      </c>
      <c r="T27" s="5">
        <v>1073</v>
      </c>
      <c r="U27" s="5">
        <v>657</v>
      </c>
      <c r="V27" s="5">
        <v>1567</v>
      </c>
    </row>
    <row r="28" spans="1:22" x14ac:dyDescent="0.3">
      <c r="A28" s="3">
        <v>34059</v>
      </c>
      <c r="B28" s="5"/>
      <c r="C28" s="5"/>
      <c r="D28" s="5"/>
      <c r="E28" s="5"/>
      <c r="F28" s="5"/>
      <c r="G28" s="5"/>
      <c r="H28" s="12"/>
      <c r="I28" s="5"/>
      <c r="J28" s="5"/>
      <c r="K28" s="5"/>
      <c r="L28" s="5">
        <v>694</v>
      </c>
      <c r="M28" s="12">
        <v>559</v>
      </c>
      <c r="N28" s="5">
        <v>301</v>
      </c>
      <c r="O28" s="5">
        <v>1663</v>
      </c>
      <c r="P28" s="5">
        <v>749</v>
      </c>
      <c r="Q28" s="5">
        <v>2916</v>
      </c>
      <c r="R28" s="5"/>
      <c r="S28" s="5">
        <v>981</v>
      </c>
      <c r="T28" s="5">
        <v>1085</v>
      </c>
      <c r="U28" s="5">
        <v>598</v>
      </c>
      <c r="V28" s="5">
        <v>1550</v>
      </c>
    </row>
    <row r="29" spans="1:22" x14ac:dyDescent="0.3">
      <c r="A29" s="3">
        <v>34150</v>
      </c>
      <c r="B29" s="5"/>
      <c r="C29" s="5"/>
      <c r="D29" s="5"/>
      <c r="E29" s="5"/>
      <c r="F29" s="5"/>
      <c r="G29" s="5"/>
      <c r="H29" s="12"/>
      <c r="I29" s="5"/>
      <c r="J29" s="5"/>
      <c r="K29" s="5"/>
      <c r="L29" s="5">
        <v>701</v>
      </c>
      <c r="M29" s="12">
        <v>580</v>
      </c>
      <c r="N29" s="5">
        <v>303</v>
      </c>
      <c r="O29" s="5">
        <v>1663</v>
      </c>
      <c r="P29" s="5">
        <v>780</v>
      </c>
      <c r="Q29" s="5">
        <v>2943</v>
      </c>
      <c r="R29" s="5"/>
      <c r="S29" s="5">
        <v>977</v>
      </c>
      <c r="T29" s="5">
        <v>1122</v>
      </c>
      <c r="U29" s="5">
        <v>657</v>
      </c>
      <c r="V29" s="5">
        <v>1538</v>
      </c>
    </row>
    <row r="30" spans="1:22" x14ac:dyDescent="0.3">
      <c r="A30" s="3">
        <v>34242</v>
      </c>
      <c r="B30" s="5"/>
      <c r="C30" s="5"/>
      <c r="D30" s="5"/>
      <c r="E30" s="5"/>
      <c r="F30" s="5"/>
      <c r="G30" s="5"/>
      <c r="H30" s="12"/>
      <c r="I30" s="5"/>
      <c r="J30" s="5"/>
      <c r="K30" s="5"/>
      <c r="L30" s="5">
        <v>703</v>
      </c>
      <c r="M30" s="12">
        <v>589</v>
      </c>
      <c r="N30" s="5">
        <v>301</v>
      </c>
      <c r="O30" s="5">
        <v>1678</v>
      </c>
      <c r="P30" s="5">
        <v>809</v>
      </c>
      <c r="Q30" s="5">
        <v>2974</v>
      </c>
      <c r="R30" s="5"/>
      <c r="S30" s="5">
        <v>980</v>
      </c>
      <c r="T30" s="5">
        <v>1162</v>
      </c>
      <c r="U30" s="5">
        <v>669</v>
      </c>
      <c r="V30" s="5">
        <v>1542</v>
      </c>
    </row>
    <row r="31" spans="1:22" x14ac:dyDescent="0.3">
      <c r="A31" s="3">
        <v>34334</v>
      </c>
      <c r="B31" s="5"/>
      <c r="C31" s="5"/>
      <c r="D31" s="5"/>
      <c r="E31" s="5"/>
      <c r="F31" s="5"/>
      <c r="G31" s="5"/>
      <c r="H31" s="12"/>
      <c r="I31" s="5"/>
      <c r="J31" s="5"/>
      <c r="K31" s="5"/>
      <c r="L31" s="5">
        <v>696</v>
      </c>
      <c r="M31" s="12">
        <v>587</v>
      </c>
      <c r="N31" s="5">
        <v>307</v>
      </c>
      <c r="O31" s="5">
        <v>1699</v>
      </c>
      <c r="P31" s="5">
        <v>821</v>
      </c>
      <c r="Q31" s="5">
        <v>2994</v>
      </c>
      <c r="R31" s="5"/>
      <c r="S31" s="5">
        <v>968</v>
      </c>
      <c r="T31" s="5">
        <v>1163</v>
      </c>
      <c r="U31" s="5">
        <v>694</v>
      </c>
      <c r="V31" s="5">
        <v>1630</v>
      </c>
    </row>
    <row r="32" spans="1:22" x14ac:dyDescent="0.3">
      <c r="A32" s="3">
        <v>34424</v>
      </c>
      <c r="B32" s="5"/>
      <c r="C32" s="5"/>
      <c r="D32" s="5"/>
      <c r="E32" s="5"/>
      <c r="F32" s="5"/>
      <c r="G32" s="5"/>
      <c r="H32" s="12"/>
      <c r="I32" s="5"/>
      <c r="J32" s="5"/>
      <c r="K32" s="5"/>
      <c r="L32" s="5">
        <v>696</v>
      </c>
      <c r="M32" s="12">
        <v>585</v>
      </c>
      <c r="N32" s="5">
        <v>317</v>
      </c>
      <c r="O32" s="5">
        <v>1702</v>
      </c>
      <c r="P32" s="5">
        <v>849</v>
      </c>
      <c r="Q32" s="5">
        <v>3019</v>
      </c>
      <c r="R32" s="5"/>
      <c r="S32" s="5">
        <v>975</v>
      </c>
      <c r="T32" s="5">
        <v>1204</v>
      </c>
      <c r="U32" s="5">
        <v>699</v>
      </c>
      <c r="V32" s="5">
        <v>1778</v>
      </c>
    </row>
    <row r="33" spans="1:22" x14ac:dyDescent="0.3">
      <c r="A33" s="3">
        <v>34515</v>
      </c>
      <c r="B33" s="5"/>
      <c r="C33" s="5"/>
      <c r="D33" s="5"/>
      <c r="E33" s="5"/>
      <c r="F33" s="5"/>
      <c r="G33" s="5"/>
      <c r="H33" s="12"/>
      <c r="I33" s="5"/>
      <c r="J33" s="5"/>
      <c r="K33" s="5"/>
      <c r="L33" s="5">
        <v>698</v>
      </c>
      <c r="M33" s="12">
        <v>607</v>
      </c>
      <c r="N33" s="5">
        <v>323</v>
      </c>
      <c r="O33" s="5">
        <v>1743</v>
      </c>
      <c r="P33" s="5">
        <v>861</v>
      </c>
      <c r="Q33" s="5">
        <v>3053</v>
      </c>
      <c r="R33" s="5"/>
      <c r="S33" s="5">
        <v>1006</v>
      </c>
      <c r="T33" s="5">
        <v>1264</v>
      </c>
      <c r="U33" s="5">
        <v>741</v>
      </c>
      <c r="V33" s="5">
        <v>1773</v>
      </c>
    </row>
    <row r="34" spans="1:22" x14ac:dyDescent="0.3">
      <c r="A34" s="3">
        <v>34607</v>
      </c>
      <c r="B34" s="5"/>
      <c r="C34" s="5"/>
      <c r="D34" s="5"/>
      <c r="E34" s="5"/>
      <c r="F34" s="5"/>
      <c r="G34" s="5"/>
      <c r="H34" s="12"/>
      <c r="I34" s="5"/>
      <c r="J34" s="5"/>
      <c r="K34" s="5"/>
      <c r="L34" s="5">
        <v>696</v>
      </c>
      <c r="M34" s="12">
        <v>621</v>
      </c>
      <c r="N34" s="5">
        <v>324</v>
      </c>
      <c r="O34" s="5">
        <v>1780</v>
      </c>
      <c r="P34" s="5">
        <v>881</v>
      </c>
      <c r="Q34" s="5">
        <v>3141</v>
      </c>
      <c r="R34" s="5"/>
      <c r="S34" s="5">
        <v>1016</v>
      </c>
      <c r="T34" s="5">
        <v>1285</v>
      </c>
      <c r="U34" s="5">
        <v>730</v>
      </c>
      <c r="V34" s="5">
        <v>1844</v>
      </c>
    </row>
    <row r="35" spans="1:22" x14ac:dyDescent="0.3">
      <c r="A35" s="3">
        <v>34699</v>
      </c>
      <c r="B35" s="5"/>
      <c r="C35" s="5"/>
      <c r="D35" s="5"/>
      <c r="E35" s="5"/>
      <c r="F35" s="5"/>
      <c r="G35" s="5"/>
      <c r="H35" s="12"/>
      <c r="I35" s="5"/>
      <c r="J35" s="5"/>
      <c r="K35" s="5"/>
      <c r="L35" s="5">
        <v>693</v>
      </c>
      <c r="M35" s="12">
        <v>626</v>
      </c>
      <c r="N35" s="5">
        <v>330</v>
      </c>
      <c r="O35" s="5">
        <v>1856</v>
      </c>
      <c r="P35" s="5">
        <v>877</v>
      </c>
      <c r="Q35" s="5">
        <v>3208</v>
      </c>
      <c r="R35" s="5"/>
      <c r="S35" s="5">
        <v>1027</v>
      </c>
      <c r="T35" s="5">
        <v>1284</v>
      </c>
      <c r="U35" s="5">
        <v>790</v>
      </c>
      <c r="V35" s="5">
        <v>1883</v>
      </c>
    </row>
    <row r="36" spans="1:22" x14ac:dyDescent="0.3">
      <c r="A36" s="3">
        <v>34789</v>
      </c>
      <c r="B36" s="5"/>
      <c r="C36" s="5"/>
      <c r="D36" s="5"/>
      <c r="E36" s="5"/>
      <c r="F36" s="5"/>
      <c r="G36" s="5"/>
      <c r="H36" s="12"/>
      <c r="I36" s="5"/>
      <c r="J36" s="5"/>
      <c r="K36" s="5"/>
      <c r="L36" s="5">
        <v>703</v>
      </c>
      <c r="M36" s="12">
        <v>619</v>
      </c>
      <c r="N36" s="5">
        <v>340</v>
      </c>
      <c r="O36" s="5">
        <v>1838</v>
      </c>
      <c r="P36" s="5">
        <v>903</v>
      </c>
      <c r="Q36" s="5">
        <v>3291</v>
      </c>
      <c r="R36" s="5"/>
      <c r="S36" s="5">
        <v>1053</v>
      </c>
      <c r="T36" s="5">
        <v>1305</v>
      </c>
      <c r="U36" s="5">
        <v>799</v>
      </c>
      <c r="V36" s="5">
        <v>1946</v>
      </c>
    </row>
    <row r="37" spans="1:22" x14ac:dyDescent="0.3">
      <c r="A37" s="3">
        <v>34880</v>
      </c>
      <c r="B37" s="5"/>
      <c r="C37" s="5"/>
      <c r="D37" s="5"/>
      <c r="E37" s="5"/>
      <c r="F37" s="5"/>
      <c r="G37" s="5"/>
      <c r="H37" s="12"/>
      <c r="I37" s="5"/>
      <c r="J37" s="5"/>
      <c r="K37" s="5"/>
      <c r="L37" s="5">
        <v>727</v>
      </c>
      <c r="M37" s="12">
        <v>599</v>
      </c>
      <c r="N37" s="5">
        <v>358</v>
      </c>
      <c r="O37" s="5">
        <v>1882</v>
      </c>
      <c r="P37" s="5">
        <v>903</v>
      </c>
      <c r="Q37" s="5">
        <v>3347</v>
      </c>
      <c r="R37" s="5"/>
      <c r="S37" s="5">
        <v>1064</v>
      </c>
      <c r="T37" s="5">
        <v>1309</v>
      </c>
      <c r="U37" s="5">
        <v>725</v>
      </c>
      <c r="V37" s="5">
        <v>1972</v>
      </c>
    </row>
    <row r="38" spans="1:22" x14ac:dyDescent="0.3">
      <c r="A38" s="3">
        <v>34972</v>
      </c>
      <c r="B38" s="5"/>
      <c r="C38" s="5"/>
      <c r="D38" s="5"/>
      <c r="E38" s="5"/>
      <c r="F38" s="5"/>
      <c r="G38" s="5"/>
      <c r="H38" s="12"/>
      <c r="I38" s="5"/>
      <c r="J38" s="5"/>
      <c r="K38" s="5"/>
      <c r="L38" s="5">
        <v>728</v>
      </c>
      <c r="M38" s="12">
        <v>605</v>
      </c>
      <c r="N38" s="5">
        <v>371</v>
      </c>
      <c r="O38" s="5">
        <v>1857</v>
      </c>
      <c r="P38" s="5">
        <v>892</v>
      </c>
      <c r="Q38" s="5">
        <v>3438</v>
      </c>
      <c r="R38" s="5"/>
      <c r="S38" s="5">
        <v>1085</v>
      </c>
      <c r="T38" s="5">
        <v>1336</v>
      </c>
      <c r="U38" s="5">
        <v>762</v>
      </c>
      <c r="V38" s="5">
        <v>2038</v>
      </c>
    </row>
    <row r="39" spans="1:22" x14ac:dyDescent="0.3">
      <c r="A39" s="3">
        <v>35064</v>
      </c>
      <c r="B39" s="5"/>
      <c r="C39" s="5"/>
      <c r="D39" s="5"/>
      <c r="E39" s="5"/>
      <c r="F39" s="5"/>
      <c r="G39" s="5"/>
      <c r="H39" s="12"/>
      <c r="I39" s="5"/>
      <c r="J39" s="5"/>
      <c r="K39" s="5"/>
      <c r="L39" s="5">
        <v>745</v>
      </c>
      <c r="M39" s="12">
        <v>614</v>
      </c>
      <c r="N39" s="5">
        <v>375</v>
      </c>
      <c r="O39" s="5">
        <v>1867</v>
      </c>
      <c r="P39" s="5">
        <v>910</v>
      </c>
      <c r="Q39" s="5">
        <v>3510</v>
      </c>
      <c r="R39" s="5"/>
      <c r="S39" s="5">
        <v>1112</v>
      </c>
      <c r="T39" s="5">
        <v>1399</v>
      </c>
      <c r="U39" s="5">
        <v>725</v>
      </c>
      <c r="V39" s="5">
        <v>2099</v>
      </c>
    </row>
    <row r="40" spans="1:22" x14ac:dyDescent="0.3">
      <c r="A40" s="3">
        <v>35155</v>
      </c>
      <c r="B40" s="5"/>
      <c r="C40" s="5"/>
      <c r="D40" s="5"/>
      <c r="E40" s="5"/>
      <c r="F40" s="5"/>
      <c r="G40" s="5"/>
      <c r="H40" s="12"/>
      <c r="I40" s="5"/>
      <c r="J40" s="5"/>
      <c r="K40" s="5"/>
      <c r="L40" s="5">
        <v>755</v>
      </c>
      <c r="M40" s="12">
        <v>632</v>
      </c>
      <c r="N40" s="5">
        <v>393</v>
      </c>
      <c r="O40" s="5">
        <v>1967</v>
      </c>
      <c r="P40" s="5">
        <v>890</v>
      </c>
      <c r="Q40" s="5">
        <v>3596</v>
      </c>
      <c r="R40" s="5"/>
      <c r="S40" s="5">
        <v>1118</v>
      </c>
      <c r="T40" s="5">
        <v>1428</v>
      </c>
      <c r="U40" s="5">
        <v>772</v>
      </c>
      <c r="V40" s="5">
        <v>2212</v>
      </c>
    </row>
    <row r="41" spans="1:22" x14ac:dyDescent="0.3">
      <c r="A41" s="3">
        <v>35246</v>
      </c>
      <c r="B41" s="5"/>
      <c r="C41" s="5"/>
      <c r="D41" s="5"/>
      <c r="E41" s="5"/>
      <c r="F41" s="5"/>
      <c r="G41" s="5"/>
      <c r="H41" s="12"/>
      <c r="I41" s="5"/>
      <c r="J41" s="5"/>
      <c r="K41" s="5"/>
      <c r="L41" s="5">
        <v>759</v>
      </c>
      <c r="M41" s="12">
        <v>646</v>
      </c>
      <c r="N41" s="5">
        <v>394</v>
      </c>
      <c r="O41" s="5">
        <v>1965</v>
      </c>
      <c r="P41" s="5">
        <v>905</v>
      </c>
      <c r="Q41" s="5">
        <v>3676</v>
      </c>
      <c r="R41" s="5"/>
      <c r="S41" s="5">
        <v>1118</v>
      </c>
      <c r="T41" s="5">
        <v>1450</v>
      </c>
      <c r="U41" s="5">
        <v>810</v>
      </c>
      <c r="V41" s="5">
        <v>2263</v>
      </c>
    </row>
    <row r="42" spans="1:22" x14ac:dyDescent="0.3">
      <c r="A42" s="3">
        <v>35338</v>
      </c>
      <c r="B42" s="5"/>
      <c r="C42" s="5"/>
      <c r="D42" s="5"/>
      <c r="E42" s="5"/>
      <c r="F42" s="5"/>
      <c r="G42" s="5"/>
      <c r="H42" s="12"/>
      <c r="I42" s="5"/>
      <c r="J42" s="5"/>
      <c r="K42" s="5"/>
      <c r="L42" s="5">
        <v>766</v>
      </c>
      <c r="M42" s="12">
        <v>640</v>
      </c>
      <c r="N42" s="5">
        <v>400</v>
      </c>
      <c r="O42" s="5">
        <v>2003</v>
      </c>
      <c r="P42" s="5">
        <v>905</v>
      </c>
      <c r="Q42" s="5">
        <v>3712</v>
      </c>
      <c r="R42" s="5"/>
      <c r="S42" s="5">
        <v>1122</v>
      </c>
      <c r="T42" s="5">
        <v>1506</v>
      </c>
      <c r="U42" s="5">
        <v>842</v>
      </c>
      <c r="V42" s="5">
        <v>2289</v>
      </c>
    </row>
    <row r="43" spans="1:22" x14ac:dyDescent="0.3">
      <c r="A43" s="3">
        <v>35430</v>
      </c>
      <c r="B43" s="5"/>
      <c r="C43" s="5"/>
      <c r="D43" s="5"/>
      <c r="E43" s="5"/>
      <c r="F43" s="5"/>
      <c r="G43" s="5"/>
      <c r="H43" s="12"/>
      <c r="I43" s="5"/>
      <c r="J43" s="5"/>
      <c r="K43" s="5"/>
      <c r="L43" s="5">
        <v>762</v>
      </c>
      <c r="M43" s="12">
        <v>652</v>
      </c>
      <c r="N43" s="5">
        <v>398</v>
      </c>
      <c r="O43" s="5">
        <v>2005</v>
      </c>
      <c r="P43" s="5">
        <v>899</v>
      </c>
      <c r="Q43" s="5">
        <v>3773</v>
      </c>
      <c r="R43" s="5"/>
      <c r="S43" s="5">
        <v>1166</v>
      </c>
      <c r="T43" s="5">
        <v>1520</v>
      </c>
      <c r="U43" s="5">
        <v>813</v>
      </c>
      <c r="V43" s="5">
        <v>2253</v>
      </c>
    </row>
    <row r="44" spans="1:22" x14ac:dyDescent="0.3">
      <c r="A44" s="3">
        <v>35520</v>
      </c>
      <c r="B44" s="5"/>
      <c r="C44" s="5"/>
      <c r="D44" s="5"/>
      <c r="E44" s="5"/>
      <c r="F44" s="5"/>
      <c r="G44" s="5"/>
      <c r="H44" s="12"/>
      <c r="I44" s="5"/>
      <c r="J44" s="5"/>
      <c r="K44" s="5"/>
      <c r="L44" s="5">
        <v>750</v>
      </c>
      <c r="M44" s="12">
        <v>666</v>
      </c>
      <c r="N44" s="5">
        <v>423</v>
      </c>
      <c r="O44" s="5">
        <v>2026</v>
      </c>
      <c r="P44" s="5">
        <v>867</v>
      </c>
      <c r="Q44" s="5">
        <v>3819</v>
      </c>
      <c r="R44" s="5"/>
      <c r="S44" s="5">
        <v>1175</v>
      </c>
      <c r="T44" s="5">
        <v>1566</v>
      </c>
      <c r="U44" s="5">
        <v>898</v>
      </c>
      <c r="V44" s="5">
        <v>2178</v>
      </c>
    </row>
    <row r="45" spans="1:22" x14ac:dyDescent="0.3">
      <c r="A45" s="3">
        <v>35611</v>
      </c>
      <c r="B45" s="5"/>
      <c r="C45" s="5"/>
      <c r="D45" s="5"/>
      <c r="E45" s="5"/>
      <c r="F45" s="5"/>
      <c r="G45" s="5"/>
      <c r="H45" s="12"/>
      <c r="I45" s="5"/>
      <c r="J45" s="5"/>
      <c r="K45" s="5"/>
      <c r="L45" s="5">
        <v>754</v>
      </c>
      <c r="M45" s="12">
        <v>696</v>
      </c>
      <c r="N45" s="5">
        <v>454</v>
      </c>
      <c r="O45" s="5">
        <v>2059</v>
      </c>
      <c r="P45" s="5">
        <v>889</v>
      </c>
      <c r="Q45" s="5">
        <v>3880</v>
      </c>
      <c r="R45" s="5"/>
      <c r="S45" s="5">
        <v>1210</v>
      </c>
      <c r="T45" s="5">
        <v>1582</v>
      </c>
      <c r="U45" s="5">
        <v>903</v>
      </c>
      <c r="V45" s="5">
        <v>2118</v>
      </c>
    </row>
    <row r="46" spans="1:22" x14ac:dyDescent="0.3">
      <c r="A46" s="3">
        <v>35703</v>
      </c>
      <c r="B46" s="5"/>
      <c r="C46" s="5"/>
      <c r="D46" s="5"/>
      <c r="E46" s="5"/>
      <c r="F46" s="5"/>
      <c r="G46" s="5"/>
      <c r="H46" s="12"/>
      <c r="I46" s="5"/>
      <c r="J46" s="5"/>
      <c r="K46" s="5"/>
      <c r="L46" s="5">
        <v>765</v>
      </c>
      <c r="M46" s="12">
        <v>674</v>
      </c>
      <c r="N46" s="5">
        <v>470</v>
      </c>
      <c r="O46" s="5">
        <v>2067</v>
      </c>
      <c r="P46" s="5">
        <v>893</v>
      </c>
      <c r="Q46" s="5">
        <v>3949</v>
      </c>
      <c r="R46" s="5"/>
      <c r="S46" s="5">
        <v>1241</v>
      </c>
      <c r="T46" s="5">
        <v>1615</v>
      </c>
      <c r="U46" s="5">
        <v>889</v>
      </c>
      <c r="V46" s="5">
        <v>2062</v>
      </c>
    </row>
    <row r="47" spans="1:22" x14ac:dyDescent="0.3">
      <c r="A47" s="3">
        <v>35795</v>
      </c>
      <c r="B47" s="5"/>
      <c r="C47" s="5"/>
      <c r="D47" s="5"/>
      <c r="E47" s="5"/>
      <c r="F47" s="5"/>
      <c r="G47" s="5"/>
      <c r="H47" s="12"/>
      <c r="I47" s="5"/>
      <c r="J47" s="5"/>
      <c r="K47" s="5"/>
      <c r="L47" s="5">
        <v>794</v>
      </c>
      <c r="M47" s="12">
        <v>690</v>
      </c>
      <c r="N47" s="5">
        <v>475</v>
      </c>
      <c r="O47" s="5">
        <v>2065</v>
      </c>
      <c r="P47" s="5">
        <v>881</v>
      </c>
      <c r="Q47" s="5">
        <v>4025</v>
      </c>
      <c r="R47" s="5"/>
      <c r="S47" s="5">
        <v>1235</v>
      </c>
      <c r="T47" s="5">
        <v>1634</v>
      </c>
      <c r="U47" s="5">
        <v>921</v>
      </c>
      <c r="V47" s="5">
        <v>2053</v>
      </c>
    </row>
    <row r="48" spans="1:22" x14ac:dyDescent="0.3">
      <c r="A48" s="3">
        <v>35885</v>
      </c>
      <c r="B48" s="5"/>
      <c r="C48" s="5"/>
      <c r="D48" s="5"/>
      <c r="E48" s="5"/>
      <c r="F48" s="5"/>
      <c r="G48" s="5"/>
      <c r="H48" s="12"/>
      <c r="I48" s="5"/>
      <c r="J48" s="5"/>
      <c r="K48" s="5"/>
      <c r="L48" s="5">
        <v>820</v>
      </c>
      <c r="M48" s="12">
        <v>692</v>
      </c>
      <c r="N48" s="5">
        <v>429</v>
      </c>
      <c r="O48" s="5">
        <v>2105</v>
      </c>
      <c r="P48" s="5">
        <v>886</v>
      </c>
      <c r="Q48" s="5">
        <v>4109</v>
      </c>
      <c r="R48" s="5"/>
      <c r="S48" s="5">
        <v>1238</v>
      </c>
      <c r="T48" s="5">
        <v>1654</v>
      </c>
      <c r="U48" s="5">
        <v>1020</v>
      </c>
      <c r="V48" s="5">
        <v>2072</v>
      </c>
    </row>
    <row r="49" spans="1:22" x14ac:dyDescent="0.3">
      <c r="A49" s="3">
        <v>35976</v>
      </c>
      <c r="B49" s="5"/>
      <c r="C49" s="5"/>
      <c r="D49" s="5"/>
      <c r="E49" s="5"/>
      <c r="F49" s="5"/>
      <c r="G49" s="5"/>
      <c r="H49" s="12"/>
      <c r="I49" s="5"/>
      <c r="J49" s="5"/>
      <c r="K49" s="5"/>
      <c r="L49" s="5">
        <v>822</v>
      </c>
      <c r="M49" s="12">
        <v>687</v>
      </c>
      <c r="N49" s="5">
        <v>382</v>
      </c>
      <c r="O49" s="5">
        <v>2114</v>
      </c>
      <c r="P49" s="5">
        <v>905</v>
      </c>
      <c r="Q49" s="5">
        <v>4177</v>
      </c>
      <c r="R49" s="5"/>
      <c r="S49" s="5">
        <v>1242</v>
      </c>
      <c r="T49" s="5">
        <v>1697</v>
      </c>
      <c r="U49" s="5">
        <v>970</v>
      </c>
      <c r="V49" s="5">
        <v>2094</v>
      </c>
    </row>
    <row r="50" spans="1:22" x14ac:dyDescent="0.3">
      <c r="A50" s="3">
        <v>36068</v>
      </c>
      <c r="B50" s="5"/>
      <c r="C50" s="5"/>
      <c r="D50" s="5"/>
      <c r="E50" s="5"/>
      <c r="F50" s="5"/>
      <c r="G50" s="5"/>
      <c r="H50" s="12"/>
      <c r="I50" s="5"/>
      <c r="J50" s="5"/>
      <c r="K50" s="5"/>
      <c r="L50" s="5">
        <v>837</v>
      </c>
      <c r="M50" s="12">
        <v>685</v>
      </c>
      <c r="N50" s="5">
        <v>485</v>
      </c>
      <c r="O50" s="5">
        <v>2155</v>
      </c>
      <c r="P50" s="5">
        <v>918</v>
      </c>
      <c r="Q50" s="5">
        <v>4178</v>
      </c>
      <c r="R50" s="5"/>
      <c r="S50" s="5">
        <v>1264</v>
      </c>
      <c r="T50" s="5">
        <v>1673</v>
      </c>
      <c r="U50" s="5">
        <v>943</v>
      </c>
      <c r="V50" s="5">
        <v>2078</v>
      </c>
    </row>
    <row r="51" spans="1:22" x14ac:dyDescent="0.3">
      <c r="A51" s="3">
        <v>36160</v>
      </c>
      <c r="B51" s="5"/>
      <c r="C51" s="5"/>
      <c r="D51" s="5"/>
      <c r="E51" s="5"/>
      <c r="F51" s="5"/>
      <c r="G51" s="5"/>
      <c r="H51" s="12"/>
      <c r="I51" s="5"/>
      <c r="J51" s="5"/>
      <c r="K51" s="5"/>
      <c r="L51" s="5">
        <v>852</v>
      </c>
      <c r="M51" s="12">
        <v>695</v>
      </c>
      <c r="N51" s="5">
        <v>472</v>
      </c>
      <c r="O51" s="5">
        <v>2172</v>
      </c>
      <c r="P51" s="5">
        <v>946</v>
      </c>
      <c r="Q51" s="5">
        <v>4167</v>
      </c>
      <c r="R51" s="5"/>
      <c r="S51" s="5">
        <v>1285</v>
      </c>
      <c r="T51" s="5">
        <v>1716</v>
      </c>
      <c r="U51" s="5">
        <v>1001</v>
      </c>
      <c r="V51" s="5">
        <v>2156</v>
      </c>
    </row>
    <row r="52" spans="1:22" x14ac:dyDescent="0.3">
      <c r="A52" s="3">
        <v>36250</v>
      </c>
      <c r="B52" s="5"/>
      <c r="C52" s="5"/>
      <c r="D52" s="5"/>
      <c r="E52" s="5"/>
      <c r="F52" s="5"/>
      <c r="G52" s="5"/>
      <c r="H52" s="12"/>
      <c r="I52" s="5"/>
      <c r="J52" s="5"/>
      <c r="K52" s="5"/>
      <c r="L52" s="5">
        <v>861</v>
      </c>
      <c r="M52" s="12">
        <v>701</v>
      </c>
      <c r="N52" s="5">
        <v>491</v>
      </c>
      <c r="O52" s="5">
        <v>2209</v>
      </c>
      <c r="P52" s="5">
        <v>970</v>
      </c>
      <c r="Q52" s="5">
        <v>4153</v>
      </c>
      <c r="R52" s="5"/>
      <c r="S52" s="5">
        <v>1312</v>
      </c>
      <c r="T52" s="5">
        <v>1732</v>
      </c>
      <c r="U52" s="5">
        <v>978</v>
      </c>
      <c r="V52" s="5">
        <v>2161</v>
      </c>
    </row>
    <row r="53" spans="1:22" x14ac:dyDescent="0.3">
      <c r="A53" s="3">
        <v>36341</v>
      </c>
      <c r="B53" s="5"/>
      <c r="C53" s="5"/>
      <c r="D53" s="5"/>
      <c r="E53" s="5"/>
      <c r="F53" s="5"/>
      <c r="G53" s="5"/>
      <c r="H53" s="12"/>
      <c r="I53" s="5"/>
      <c r="J53" s="5"/>
      <c r="K53" s="5"/>
      <c r="L53" s="5">
        <v>866</v>
      </c>
      <c r="M53" s="12">
        <v>720</v>
      </c>
      <c r="N53" s="5">
        <v>477</v>
      </c>
      <c r="O53" s="5">
        <v>2221</v>
      </c>
      <c r="P53" s="5">
        <v>972</v>
      </c>
      <c r="Q53" s="5">
        <v>4192</v>
      </c>
      <c r="R53" s="5"/>
      <c r="S53" s="5">
        <v>1344</v>
      </c>
      <c r="T53" s="5">
        <v>1769</v>
      </c>
      <c r="U53" s="5">
        <v>1013</v>
      </c>
      <c r="V53" s="5">
        <v>2197</v>
      </c>
    </row>
    <row r="54" spans="1:22" x14ac:dyDescent="0.3">
      <c r="A54" s="3">
        <v>36433</v>
      </c>
      <c r="B54" s="5"/>
      <c r="C54" s="5"/>
      <c r="D54" s="5"/>
      <c r="E54" s="5"/>
      <c r="F54" s="5"/>
      <c r="G54" s="5"/>
      <c r="H54" s="12"/>
      <c r="I54" s="5"/>
      <c r="J54" s="5"/>
      <c r="K54" s="5"/>
      <c r="L54" s="5">
        <v>865</v>
      </c>
      <c r="M54" s="12">
        <v>737</v>
      </c>
      <c r="N54" s="5">
        <v>452</v>
      </c>
      <c r="O54" s="5">
        <v>2248</v>
      </c>
      <c r="P54" s="5">
        <v>989</v>
      </c>
      <c r="Q54" s="5">
        <v>4239</v>
      </c>
      <c r="R54" s="5"/>
      <c r="S54" s="5">
        <v>1352</v>
      </c>
      <c r="T54" s="5">
        <v>1794</v>
      </c>
      <c r="U54" s="5">
        <v>994</v>
      </c>
      <c r="V54" s="5">
        <v>2235</v>
      </c>
    </row>
    <row r="55" spans="1:22" x14ac:dyDescent="0.3">
      <c r="A55" s="3">
        <v>36525</v>
      </c>
      <c r="B55" s="5"/>
      <c r="C55" s="5"/>
      <c r="D55" s="5"/>
      <c r="E55" s="5"/>
      <c r="F55" s="5"/>
      <c r="G55" s="5"/>
      <c r="H55" s="12"/>
      <c r="I55" s="5"/>
      <c r="J55" s="5"/>
      <c r="K55" s="5"/>
      <c r="L55" s="5">
        <v>860</v>
      </c>
      <c r="M55" s="12">
        <v>742</v>
      </c>
      <c r="N55" s="5">
        <v>457</v>
      </c>
      <c r="O55" s="5">
        <v>2258</v>
      </c>
      <c r="P55" s="5">
        <v>1006</v>
      </c>
      <c r="Q55" s="5">
        <v>4270</v>
      </c>
      <c r="R55" s="5"/>
      <c r="S55" s="5">
        <v>1370</v>
      </c>
      <c r="T55" s="5">
        <v>1820</v>
      </c>
      <c r="U55" s="5">
        <v>925</v>
      </c>
      <c r="V55" s="5">
        <v>2207</v>
      </c>
    </row>
    <row r="56" spans="1:22" x14ac:dyDescent="0.3">
      <c r="A56" s="3">
        <v>36616</v>
      </c>
      <c r="B56" s="5"/>
      <c r="C56" s="5"/>
      <c r="D56" s="5"/>
      <c r="E56" s="5"/>
      <c r="F56" s="5"/>
      <c r="G56" s="5"/>
      <c r="H56" s="12"/>
      <c r="I56" s="5"/>
      <c r="J56" s="5"/>
      <c r="K56" s="5"/>
      <c r="L56" s="5">
        <v>861</v>
      </c>
      <c r="M56" s="12">
        <v>752</v>
      </c>
      <c r="N56" s="5">
        <v>459</v>
      </c>
      <c r="O56" s="5">
        <v>2287</v>
      </c>
      <c r="P56" s="5">
        <v>1005</v>
      </c>
      <c r="Q56" s="5">
        <v>4305</v>
      </c>
      <c r="R56" s="5"/>
      <c r="S56" s="5">
        <v>1385</v>
      </c>
      <c r="T56" s="5">
        <v>1822</v>
      </c>
      <c r="U56" s="5">
        <v>856</v>
      </c>
      <c r="V56" s="5">
        <v>2191</v>
      </c>
    </row>
    <row r="57" spans="1:22" x14ac:dyDescent="0.3">
      <c r="A57" s="3">
        <v>36707</v>
      </c>
      <c r="B57" s="5"/>
      <c r="C57" s="5"/>
      <c r="D57" s="5"/>
      <c r="E57" s="5"/>
      <c r="F57" s="5"/>
      <c r="G57" s="5"/>
      <c r="H57" s="12"/>
      <c r="I57" s="5"/>
      <c r="J57" s="5"/>
      <c r="K57" s="5"/>
      <c r="L57" s="5">
        <v>885</v>
      </c>
      <c r="M57" s="12">
        <v>758</v>
      </c>
      <c r="N57" s="5">
        <v>480</v>
      </c>
      <c r="O57" s="5">
        <v>2320</v>
      </c>
      <c r="P57" s="5">
        <v>1010</v>
      </c>
      <c r="Q57" s="5">
        <v>4320</v>
      </c>
      <c r="R57" s="5">
        <v>2</v>
      </c>
      <c r="S57" s="5">
        <v>1397</v>
      </c>
      <c r="T57" s="5">
        <v>1844</v>
      </c>
      <c r="U57" s="5">
        <v>973</v>
      </c>
      <c r="V57" s="5">
        <v>2270</v>
      </c>
    </row>
    <row r="58" spans="1:22" x14ac:dyDescent="0.3">
      <c r="A58" s="3">
        <v>36799</v>
      </c>
      <c r="B58" s="5"/>
      <c r="C58" s="5"/>
      <c r="D58" s="5"/>
      <c r="E58" s="5"/>
      <c r="F58" s="5"/>
      <c r="G58" s="5"/>
      <c r="H58" s="12"/>
      <c r="I58" s="5"/>
      <c r="J58" s="5"/>
      <c r="K58" s="5"/>
      <c r="L58" s="5">
        <v>914</v>
      </c>
      <c r="M58" s="12">
        <v>780</v>
      </c>
      <c r="N58" s="5">
        <v>474</v>
      </c>
      <c r="O58" s="5">
        <v>2363</v>
      </c>
      <c r="P58" s="5">
        <v>1030</v>
      </c>
      <c r="Q58" s="5">
        <v>4346</v>
      </c>
      <c r="R58" s="5">
        <v>3</v>
      </c>
      <c r="S58" s="5">
        <v>1423</v>
      </c>
      <c r="T58" s="5">
        <v>1907</v>
      </c>
      <c r="U58" s="5">
        <v>977</v>
      </c>
      <c r="V58" s="5">
        <v>2283</v>
      </c>
    </row>
    <row r="59" spans="1:22" x14ac:dyDescent="0.3">
      <c r="A59" s="3">
        <v>36891</v>
      </c>
      <c r="B59" s="5"/>
      <c r="C59" s="5"/>
      <c r="D59" s="5"/>
      <c r="E59" s="5"/>
      <c r="F59" s="5"/>
      <c r="G59" s="5"/>
      <c r="H59" s="12"/>
      <c r="I59" s="5"/>
      <c r="J59" s="5"/>
      <c r="K59" s="5"/>
      <c r="L59" s="5">
        <v>934</v>
      </c>
      <c r="M59" s="12">
        <v>775</v>
      </c>
      <c r="N59" s="5">
        <v>472</v>
      </c>
      <c r="O59" s="5">
        <v>2406</v>
      </c>
      <c r="P59" s="5">
        <v>1034</v>
      </c>
      <c r="Q59" s="5">
        <v>4384</v>
      </c>
      <c r="R59" s="5">
        <v>6</v>
      </c>
      <c r="S59" s="5">
        <v>1432</v>
      </c>
      <c r="T59" s="5">
        <v>1903</v>
      </c>
      <c r="U59" s="5">
        <v>950</v>
      </c>
      <c r="V59" s="5">
        <v>2286</v>
      </c>
    </row>
    <row r="60" spans="1:22" x14ac:dyDescent="0.3">
      <c r="A60" s="3">
        <v>36981</v>
      </c>
      <c r="B60" s="5"/>
      <c r="C60" s="5"/>
      <c r="D60" s="5"/>
      <c r="E60" s="5"/>
      <c r="F60" s="5"/>
      <c r="G60" s="5"/>
      <c r="H60" s="12"/>
      <c r="I60" s="5"/>
      <c r="J60" s="5"/>
      <c r="K60" s="5"/>
      <c r="L60" s="5">
        <v>954</v>
      </c>
      <c r="M60" s="12">
        <v>776</v>
      </c>
      <c r="N60" s="5">
        <v>478</v>
      </c>
      <c r="O60" s="5">
        <v>2395</v>
      </c>
      <c r="P60" s="5">
        <v>1041</v>
      </c>
      <c r="Q60" s="5">
        <v>4322</v>
      </c>
      <c r="R60" s="5">
        <v>8</v>
      </c>
      <c r="S60" s="5">
        <v>1439</v>
      </c>
      <c r="T60" s="5">
        <v>1935</v>
      </c>
      <c r="U60" s="5">
        <v>897</v>
      </c>
      <c r="V60" s="5">
        <v>2265</v>
      </c>
    </row>
    <row r="61" spans="1:22" x14ac:dyDescent="0.3">
      <c r="A61" s="3">
        <v>37072</v>
      </c>
      <c r="B61" s="5"/>
      <c r="C61" s="5"/>
      <c r="D61" s="5"/>
      <c r="E61" s="5"/>
      <c r="F61" s="5"/>
      <c r="G61" s="5"/>
      <c r="H61" s="12"/>
      <c r="I61" s="5"/>
      <c r="J61" s="5"/>
      <c r="K61" s="5"/>
      <c r="L61" s="5">
        <v>982</v>
      </c>
      <c r="M61" s="12">
        <v>795</v>
      </c>
      <c r="N61" s="5">
        <v>490</v>
      </c>
      <c r="O61" s="5">
        <v>2468</v>
      </c>
      <c r="P61" s="5">
        <v>1058</v>
      </c>
      <c r="Q61" s="5">
        <v>4356</v>
      </c>
      <c r="R61" s="5">
        <v>11</v>
      </c>
      <c r="S61" s="5">
        <v>1454</v>
      </c>
      <c r="T61" s="5">
        <v>1965</v>
      </c>
      <c r="U61" s="5">
        <v>942</v>
      </c>
      <c r="V61" s="5">
        <v>2411</v>
      </c>
    </row>
    <row r="62" spans="1:22" x14ac:dyDescent="0.3">
      <c r="A62" s="3">
        <v>37164</v>
      </c>
      <c r="B62" s="5"/>
      <c r="C62" s="5"/>
      <c r="D62" s="5"/>
      <c r="E62" s="5"/>
      <c r="F62" s="5"/>
      <c r="G62" s="5"/>
      <c r="H62" s="12"/>
      <c r="I62" s="5"/>
      <c r="J62" s="5"/>
      <c r="K62" s="5"/>
      <c r="L62" s="5">
        <v>996</v>
      </c>
      <c r="M62" s="12">
        <v>805</v>
      </c>
      <c r="N62" s="5">
        <v>519</v>
      </c>
      <c r="O62" s="5">
        <v>2508</v>
      </c>
      <c r="P62" s="5">
        <v>1066</v>
      </c>
      <c r="Q62" s="5">
        <v>4371</v>
      </c>
      <c r="R62" s="5">
        <v>15</v>
      </c>
      <c r="S62" s="5">
        <v>1484</v>
      </c>
      <c r="T62" s="5">
        <v>2009</v>
      </c>
      <c r="U62" s="5">
        <v>986</v>
      </c>
      <c r="V62" s="5">
        <v>2442</v>
      </c>
    </row>
    <row r="63" spans="1:22" x14ac:dyDescent="0.3">
      <c r="A63" s="3">
        <v>37256</v>
      </c>
      <c r="B63" s="5"/>
      <c r="C63" s="5"/>
      <c r="D63" s="5"/>
      <c r="E63" s="5"/>
      <c r="F63" s="5"/>
      <c r="G63" s="5"/>
      <c r="H63" s="12"/>
      <c r="I63" s="5"/>
      <c r="J63" s="5"/>
      <c r="K63" s="5"/>
      <c r="L63" s="5">
        <v>1010</v>
      </c>
      <c r="M63" s="12">
        <v>818</v>
      </c>
      <c r="N63" s="5">
        <v>514</v>
      </c>
      <c r="O63" s="5">
        <v>2549</v>
      </c>
      <c r="P63" s="5">
        <v>1094</v>
      </c>
      <c r="Q63" s="5">
        <v>4413</v>
      </c>
      <c r="R63" s="5">
        <v>16</v>
      </c>
      <c r="S63" s="5">
        <v>1518</v>
      </c>
      <c r="T63" s="5">
        <v>2038</v>
      </c>
      <c r="U63" s="5">
        <v>992</v>
      </c>
      <c r="V63" s="5">
        <v>2427</v>
      </c>
    </row>
    <row r="64" spans="1:22" x14ac:dyDescent="0.3">
      <c r="A64" s="3">
        <v>37346</v>
      </c>
      <c r="B64" s="5"/>
      <c r="C64" s="5"/>
      <c r="D64" s="5"/>
      <c r="E64" s="5"/>
      <c r="F64" s="5"/>
      <c r="G64" s="5"/>
      <c r="H64" s="12"/>
      <c r="I64" s="5"/>
      <c r="J64" s="5"/>
      <c r="K64" s="5"/>
      <c r="L64" s="5">
        <v>1021</v>
      </c>
      <c r="M64" s="12">
        <v>818</v>
      </c>
      <c r="N64" s="5">
        <v>519</v>
      </c>
      <c r="O64" s="5">
        <v>2573</v>
      </c>
      <c r="P64" s="5">
        <v>1120</v>
      </c>
      <c r="Q64" s="5">
        <v>4493</v>
      </c>
      <c r="R64" s="5">
        <v>18</v>
      </c>
      <c r="S64" s="5">
        <v>1546</v>
      </c>
      <c r="T64" s="5">
        <v>2000</v>
      </c>
      <c r="U64" s="5">
        <v>873</v>
      </c>
      <c r="V64" s="5">
        <v>2440</v>
      </c>
    </row>
    <row r="65" spans="1:22" x14ac:dyDescent="0.3">
      <c r="A65" s="3">
        <v>37437</v>
      </c>
      <c r="B65" s="5"/>
      <c r="C65" s="5"/>
      <c r="D65" s="5"/>
      <c r="E65" s="5"/>
      <c r="F65" s="5"/>
      <c r="G65" s="5"/>
      <c r="H65" s="12"/>
      <c r="I65" s="5"/>
      <c r="J65" s="5"/>
      <c r="K65" s="5"/>
      <c r="L65" s="5">
        <v>1038</v>
      </c>
      <c r="M65" s="12">
        <v>842</v>
      </c>
      <c r="N65" s="5">
        <v>534</v>
      </c>
      <c r="O65" s="5">
        <v>2671</v>
      </c>
      <c r="P65" s="5">
        <v>1160</v>
      </c>
      <c r="Q65" s="5">
        <v>4560</v>
      </c>
      <c r="R65" s="5">
        <v>19</v>
      </c>
      <c r="S65" s="5">
        <v>1589</v>
      </c>
      <c r="T65" s="5">
        <v>2115</v>
      </c>
      <c r="U65" s="5">
        <v>982</v>
      </c>
      <c r="V65" s="5">
        <v>2485</v>
      </c>
    </row>
    <row r="66" spans="1:22" x14ac:dyDescent="0.3">
      <c r="A66" s="3">
        <v>37529</v>
      </c>
      <c r="B66" s="5"/>
      <c r="C66" s="5"/>
      <c r="D66" s="5"/>
      <c r="E66" s="5"/>
      <c r="F66" s="5"/>
      <c r="G66" s="5"/>
      <c r="H66" s="12"/>
      <c r="I66" s="5"/>
      <c r="J66" s="5"/>
      <c r="K66" s="5"/>
      <c r="L66" s="5">
        <v>1049</v>
      </c>
      <c r="M66" s="12">
        <v>842</v>
      </c>
      <c r="N66" s="5">
        <v>526</v>
      </c>
      <c r="O66" s="5">
        <v>2737</v>
      </c>
      <c r="P66" s="5">
        <v>1183</v>
      </c>
      <c r="Q66" s="5">
        <v>4614</v>
      </c>
      <c r="R66" s="5">
        <v>21</v>
      </c>
      <c r="S66" s="5">
        <v>1617</v>
      </c>
      <c r="T66" s="5">
        <v>2112</v>
      </c>
      <c r="U66" s="5">
        <v>987</v>
      </c>
      <c r="V66" s="5">
        <v>2589</v>
      </c>
    </row>
    <row r="67" spans="1:22" x14ac:dyDescent="0.3">
      <c r="A67" s="3">
        <v>37621</v>
      </c>
      <c r="B67" s="5"/>
      <c r="C67" s="5"/>
      <c r="D67" s="5"/>
      <c r="E67" s="5"/>
      <c r="F67" s="5"/>
      <c r="G67" s="5"/>
      <c r="H67" s="12"/>
      <c r="I67" s="5"/>
      <c r="J67" s="5"/>
      <c r="K67" s="5"/>
      <c r="L67" s="5">
        <v>1051</v>
      </c>
      <c r="M67" s="12">
        <v>843</v>
      </c>
      <c r="N67" s="5">
        <v>544</v>
      </c>
      <c r="O67" s="5">
        <v>2776</v>
      </c>
      <c r="P67" s="5">
        <v>1202</v>
      </c>
      <c r="Q67" s="5">
        <v>4689</v>
      </c>
      <c r="R67" s="5">
        <v>25</v>
      </c>
      <c r="S67" s="5">
        <v>1658</v>
      </c>
      <c r="T67" s="5">
        <v>2168</v>
      </c>
      <c r="U67" s="5">
        <v>965</v>
      </c>
      <c r="V67" s="5">
        <v>2620</v>
      </c>
    </row>
    <row r="68" spans="1:22" x14ac:dyDescent="0.3">
      <c r="A68" s="3">
        <v>37711</v>
      </c>
      <c r="B68" s="5"/>
      <c r="C68" s="5"/>
      <c r="D68" s="5"/>
      <c r="E68" s="5"/>
      <c r="F68" s="5"/>
      <c r="G68" s="5"/>
      <c r="H68" s="12"/>
      <c r="I68" s="5"/>
      <c r="J68" s="5"/>
      <c r="K68" s="5"/>
      <c r="L68" s="5">
        <v>1056</v>
      </c>
      <c r="M68" s="12">
        <v>848</v>
      </c>
      <c r="N68" s="5">
        <v>558</v>
      </c>
      <c r="O68" s="5">
        <v>2792</v>
      </c>
      <c r="P68" s="5">
        <v>1212</v>
      </c>
      <c r="Q68" s="5">
        <v>4763</v>
      </c>
      <c r="R68" s="5">
        <v>29</v>
      </c>
      <c r="S68" s="5">
        <v>1680</v>
      </c>
      <c r="T68" s="5">
        <v>2192</v>
      </c>
      <c r="U68" s="5">
        <v>1051</v>
      </c>
      <c r="V68" s="5">
        <v>2674</v>
      </c>
    </row>
    <row r="69" spans="1:22" x14ac:dyDescent="0.3">
      <c r="A69" s="3">
        <v>37802</v>
      </c>
      <c r="B69" s="5"/>
      <c r="C69" s="5"/>
      <c r="D69" s="5"/>
      <c r="E69" s="5"/>
      <c r="F69" s="5"/>
      <c r="G69" s="5"/>
      <c r="H69" s="12"/>
      <c r="I69" s="5"/>
      <c r="J69" s="5"/>
      <c r="K69" s="5"/>
      <c r="L69" s="5">
        <v>1058</v>
      </c>
      <c r="M69" s="12">
        <v>847</v>
      </c>
      <c r="N69" s="5">
        <v>561</v>
      </c>
      <c r="O69" s="5">
        <v>2840</v>
      </c>
      <c r="P69" s="5">
        <v>1230</v>
      </c>
      <c r="Q69" s="5">
        <v>4825</v>
      </c>
      <c r="R69" s="5">
        <v>35</v>
      </c>
      <c r="S69" s="5">
        <v>1706</v>
      </c>
      <c r="T69" s="5">
        <v>2238</v>
      </c>
      <c r="U69" s="5">
        <v>1041</v>
      </c>
      <c r="V69" s="5">
        <v>2653</v>
      </c>
    </row>
    <row r="70" spans="1:22" x14ac:dyDescent="0.3">
      <c r="A70" s="3">
        <v>37894</v>
      </c>
      <c r="B70" s="5"/>
      <c r="C70" s="5"/>
      <c r="D70" s="5"/>
      <c r="E70" s="5"/>
      <c r="F70" s="5"/>
      <c r="G70" s="5"/>
      <c r="H70" s="12"/>
      <c r="I70" s="5"/>
      <c r="J70" s="5"/>
      <c r="K70" s="5"/>
      <c r="L70" s="5">
        <v>1059</v>
      </c>
      <c r="M70" s="12">
        <v>869</v>
      </c>
      <c r="N70" s="5">
        <v>581</v>
      </c>
      <c r="O70" s="5">
        <v>2825</v>
      </c>
      <c r="P70" s="5">
        <v>1244</v>
      </c>
      <c r="Q70" s="5">
        <v>4943</v>
      </c>
      <c r="R70" s="5">
        <v>46</v>
      </c>
      <c r="S70" s="5">
        <v>1725</v>
      </c>
      <c r="T70" s="5">
        <v>2254</v>
      </c>
      <c r="U70" s="5">
        <v>1035</v>
      </c>
      <c r="V70" s="5">
        <v>2681</v>
      </c>
    </row>
    <row r="71" spans="1:22" x14ac:dyDescent="0.3">
      <c r="A71" s="3">
        <v>37986</v>
      </c>
      <c r="B71" s="5"/>
      <c r="C71" s="5"/>
      <c r="D71" s="5"/>
      <c r="E71" s="5"/>
      <c r="F71" s="5"/>
      <c r="G71" s="5"/>
      <c r="H71" s="12"/>
      <c r="I71" s="5"/>
      <c r="J71" s="5"/>
      <c r="K71" s="5"/>
      <c r="L71" s="5">
        <v>1095</v>
      </c>
      <c r="M71" s="12">
        <v>883</v>
      </c>
      <c r="N71" s="5">
        <v>581</v>
      </c>
      <c r="O71" s="5">
        <v>3000</v>
      </c>
      <c r="P71" s="5">
        <v>1257</v>
      </c>
      <c r="Q71" s="5">
        <v>5071</v>
      </c>
      <c r="R71" s="5">
        <v>57</v>
      </c>
      <c r="S71" s="5">
        <v>1756</v>
      </c>
      <c r="T71" s="5">
        <v>2285</v>
      </c>
      <c r="U71" s="5">
        <v>1007</v>
      </c>
      <c r="V71" s="5">
        <v>2794</v>
      </c>
    </row>
    <row r="72" spans="1:22" x14ac:dyDescent="0.3">
      <c r="A72" s="3">
        <v>38077</v>
      </c>
      <c r="B72" s="5"/>
      <c r="C72" s="5"/>
      <c r="D72" s="5"/>
      <c r="E72" s="5"/>
      <c r="F72" s="5"/>
      <c r="G72" s="5"/>
      <c r="H72" s="12"/>
      <c r="I72" s="5"/>
      <c r="J72" s="5"/>
      <c r="K72" s="5"/>
      <c r="L72" s="5">
        <v>1098</v>
      </c>
      <c r="M72" s="12">
        <v>898</v>
      </c>
      <c r="N72" s="5">
        <v>594</v>
      </c>
      <c r="O72" s="5">
        <v>3063</v>
      </c>
      <c r="P72" s="5">
        <v>1291</v>
      </c>
      <c r="Q72" s="5">
        <v>5156</v>
      </c>
      <c r="R72" s="5">
        <v>74</v>
      </c>
      <c r="S72" s="5">
        <v>1821</v>
      </c>
      <c r="T72" s="5">
        <v>2330</v>
      </c>
      <c r="U72" s="5">
        <v>1039</v>
      </c>
      <c r="V72" s="5">
        <v>2895</v>
      </c>
    </row>
    <row r="73" spans="1:22" x14ac:dyDescent="0.3">
      <c r="A73" s="3">
        <v>38168</v>
      </c>
      <c r="B73" s="5"/>
      <c r="C73" s="5"/>
      <c r="D73" s="5"/>
      <c r="E73" s="5"/>
      <c r="F73" s="5"/>
      <c r="G73" s="5"/>
      <c r="H73" s="12"/>
      <c r="I73" s="5"/>
      <c r="J73" s="5"/>
      <c r="K73" s="5"/>
      <c r="L73" s="5">
        <v>1088</v>
      </c>
      <c r="M73" s="12">
        <v>877</v>
      </c>
      <c r="N73" s="5">
        <v>600</v>
      </c>
      <c r="O73" s="5">
        <v>3022</v>
      </c>
      <c r="P73" s="5">
        <v>1299</v>
      </c>
      <c r="Q73" s="5">
        <v>5239</v>
      </c>
      <c r="R73" s="5">
        <v>109</v>
      </c>
      <c r="S73" s="5">
        <v>1826</v>
      </c>
      <c r="T73" s="5">
        <v>2318</v>
      </c>
      <c r="U73" s="5">
        <v>1055</v>
      </c>
      <c r="V73" s="5">
        <v>2866</v>
      </c>
    </row>
    <row r="74" spans="1:22" x14ac:dyDescent="0.3">
      <c r="A74" s="3">
        <v>38260</v>
      </c>
      <c r="B74" s="5"/>
      <c r="C74" s="5"/>
      <c r="D74" s="5"/>
      <c r="E74" s="5"/>
      <c r="F74" s="5"/>
      <c r="G74" s="5"/>
      <c r="H74" s="12"/>
      <c r="I74" s="5"/>
      <c r="J74" s="5"/>
      <c r="K74" s="5"/>
      <c r="L74" s="5">
        <v>1085</v>
      </c>
      <c r="M74" s="12">
        <v>952</v>
      </c>
      <c r="N74" s="5">
        <v>612</v>
      </c>
      <c r="O74" s="5">
        <v>3058</v>
      </c>
      <c r="P74" s="5">
        <v>1337</v>
      </c>
      <c r="Q74" s="5">
        <v>5341</v>
      </c>
      <c r="R74" s="5">
        <v>131</v>
      </c>
      <c r="S74" s="5">
        <v>1851</v>
      </c>
      <c r="T74" s="5">
        <v>2402</v>
      </c>
      <c r="U74" s="5">
        <v>1185</v>
      </c>
      <c r="V74" s="5">
        <v>2940</v>
      </c>
    </row>
    <row r="75" spans="1:22" x14ac:dyDescent="0.3">
      <c r="A75" s="3">
        <v>38352</v>
      </c>
      <c r="B75" s="5"/>
      <c r="C75" s="5"/>
      <c r="D75" s="5"/>
      <c r="E75" s="5"/>
      <c r="F75" s="5"/>
      <c r="G75" s="5"/>
      <c r="H75" s="12"/>
      <c r="I75" s="5"/>
      <c r="J75" s="5"/>
      <c r="K75" s="5"/>
      <c r="L75" s="5">
        <v>1095</v>
      </c>
      <c r="M75" s="12">
        <v>943</v>
      </c>
      <c r="N75" s="5">
        <v>633</v>
      </c>
      <c r="O75" s="5">
        <v>3065</v>
      </c>
      <c r="P75" s="5">
        <v>1364</v>
      </c>
      <c r="Q75" s="5">
        <v>5412</v>
      </c>
      <c r="R75" s="5">
        <v>158</v>
      </c>
      <c r="S75" s="5">
        <v>1864</v>
      </c>
      <c r="T75" s="5">
        <v>2380</v>
      </c>
      <c r="U75" s="5">
        <v>1258</v>
      </c>
      <c r="V75" s="5">
        <v>3037</v>
      </c>
    </row>
    <row r="76" spans="1:22" x14ac:dyDescent="0.3">
      <c r="A76" s="3">
        <v>38442</v>
      </c>
      <c r="B76" s="5"/>
      <c r="C76" s="5"/>
      <c r="D76" s="5"/>
      <c r="E76" s="5"/>
      <c r="F76" s="5"/>
      <c r="G76" s="5"/>
      <c r="H76" s="12"/>
      <c r="I76" s="5"/>
      <c r="J76" s="5"/>
      <c r="K76" s="5"/>
      <c r="L76" s="5">
        <v>1116</v>
      </c>
      <c r="M76" s="12">
        <v>952</v>
      </c>
      <c r="N76" s="5">
        <v>647</v>
      </c>
      <c r="O76" s="5">
        <v>3108</v>
      </c>
      <c r="P76" s="5">
        <v>1368</v>
      </c>
      <c r="Q76" s="5">
        <v>5486</v>
      </c>
      <c r="R76" s="5">
        <v>180</v>
      </c>
      <c r="S76" s="5">
        <v>1878</v>
      </c>
      <c r="T76" s="5">
        <v>2402</v>
      </c>
      <c r="U76" s="5">
        <v>1223</v>
      </c>
      <c r="V76" s="5">
        <v>3035</v>
      </c>
    </row>
    <row r="77" spans="1:22" x14ac:dyDescent="0.3">
      <c r="A77" s="3">
        <v>38533</v>
      </c>
      <c r="B77" s="5"/>
      <c r="C77" s="5"/>
      <c r="D77" s="5"/>
      <c r="E77" s="5"/>
      <c r="F77" s="5"/>
      <c r="G77" s="5"/>
      <c r="H77" s="12"/>
      <c r="I77" s="5"/>
      <c r="J77" s="5"/>
      <c r="K77" s="5"/>
      <c r="L77" s="5">
        <v>1141</v>
      </c>
      <c r="M77" s="12">
        <v>985</v>
      </c>
      <c r="N77" s="5">
        <v>649</v>
      </c>
      <c r="O77" s="5">
        <v>3152</v>
      </c>
      <c r="P77" s="5">
        <v>1409</v>
      </c>
      <c r="Q77" s="5">
        <v>5597</v>
      </c>
      <c r="R77" s="5">
        <v>179</v>
      </c>
      <c r="S77" s="5">
        <v>1903</v>
      </c>
      <c r="T77" s="5">
        <v>2464</v>
      </c>
      <c r="U77" s="5">
        <v>1322</v>
      </c>
      <c r="V77" s="5">
        <v>3159</v>
      </c>
    </row>
    <row r="78" spans="1:22" x14ac:dyDescent="0.3">
      <c r="A78" s="3">
        <v>38625</v>
      </c>
      <c r="B78" s="5"/>
      <c r="C78" s="5"/>
      <c r="D78" s="5"/>
      <c r="E78" s="5"/>
      <c r="F78" s="5"/>
      <c r="G78" s="5"/>
      <c r="H78" s="12"/>
      <c r="I78" s="5"/>
      <c r="J78" s="5"/>
      <c r="K78" s="5"/>
      <c r="L78" s="5">
        <v>1165</v>
      </c>
      <c r="M78" s="12">
        <v>998</v>
      </c>
      <c r="N78" s="5">
        <v>670</v>
      </c>
      <c r="O78" s="5">
        <v>3221</v>
      </c>
      <c r="P78" s="5">
        <v>1424</v>
      </c>
      <c r="Q78" s="5">
        <v>5639</v>
      </c>
      <c r="R78" s="5">
        <v>194</v>
      </c>
      <c r="S78" s="5">
        <v>1942</v>
      </c>
      <c r="T78" s="5">
        <v>2442</v>
      </c>
      <c r="U78" s="5">
        <v>1226</v>
      </c>
      <c r="V78" s="5">
        <v>3215</v>
      </c>
    </row>
    <row r="79" spans="1:22" x14ac:dyDescent="0.3">
      <c r="A79" s="3">
        <v>38717</v>
      </c>
      <c r="B79" s="5"/>
      <c r="C79" s="5"/>
      <c r="D79" s="5"/>
      <c r="E79" s="5"/>
      <c r="F79" s="5"/>
      <c r="G79" s="5"/>
      <c r="H79" s="12"/>
      <c r="I79" s="5"/>
      <c r="J79" s="5"/>
      <c r="K79" s="5"/>
      <c r="L79" s="5">
        <v>1184</v>
      </c>
      <c r="M79" s="12">
        <v>1038</v>
      </c>
      <c r="N79" s="5">
        <v>686</v>
      </c>
      <c r="O79" s="5">
        <v>3267</v>
      </c>
      <c r="P79" s="5">
        <v>1436</v>
      </c>
      <c r="Q79" s="5">
        <v>5734</v>
      </c>
      <c r="R79" s="5">
        <v>196</v>
      </c>
      <c r="S79" s="5">
        <v>1968</v>
      </c>
      <c r="T79" s="5">
        <v>2492</v>
      </c>
      <c r="U79" s="5">
        <v>1340</v>
      </c>
      <c r="V79" s="5">
        <v>3223</v>
      </c>
    </row>
    <row r="80" spans="1:22" x14ac:dyDescent="0.3">
      <c r="A80" s="3">
        <v>38807</v>
      </c>
      <c r="B80" s="5"/>
      <c r="C80" s="5"/>
      <c r="D80" s="5"/>
      <c r="E80" s="5"/>
      <c r="F80" s="5"/>
      <c r="G80" s="5"/>
      <c r="H80" s="12"/>
      <c r="I80" s="5"/>
      <c r="J80" s="5"/>
      <c r="K80" s="5"/>
      <c r="L80" s="5">
        <v>1223</v>
      </c>
      <c r="M80" s="12">
        <v>1030</v>
      </c>
      <c r="N80" s="5">
        <v>689</v>
      </c>
      <c r="O80" s="5">
        <v>3386</v>
      </c>
      <c r="P80" s="5">
        <v>1457</v>
      </c>
      <c r="Q80" s="5">
        <v>5835</v>
      </c>
      <c r="R80" s="5">
        <v>213</v>
      </c>
      <c r="S80" s="5">
        <v>2005</v>
      </c>
      <c r="T80" s="5">
        <v>2476</v>
      </c>
      <c r="U80" s="5">
        <v>1336</v>
      </c>
      <c r="V80" s="5">
        <v>3273</v>
      </c>
    </row>
    <row r="81" spans="1:22" x14ac:dyDescent="0.3">
      <c r="A81" s="3">
        <v>38898</v>
      </c>
      <c r="B81" s="5"/>
      <c r="C81" s="5"/>
      <c r="D81" s="5"/>
      <c r="E81" s="5"/>
      <c r="F81" s="5"/>
      <c r="G81" s="5"/>
      <c r="H81" s="12"/>
      <c r="I81" s="5"/>
      <c r="J81" s="5"/>
      <c r="K81" s="5"/>
      <c r="L81" s="5">
        <v>1242</v>
      </c>
      <c r="M81" s="12">
        <v>1035</v>
      </c>
      <c r="N81" s="5">
        <v>686</v>
      </c>
      <c r="O81" s="5">
        <v>3423</v>
      </c>
      <c r="P81" s="5">
        <v>1468</v>
      </c>
      <c r="Q81" s="5">
        <v>5959</v>
      </c>
      <c r="R81" s="5">
        <v>199</v>
      </c>
      <c r="S81" s="5">
        <v>2037</v>
      </c>
      <c r="T81" s="5">
        <v>2494</v>
      </c>
      <c r="U81" s="5">
        <v>1326</v>
      </c>
      <c r="V81" s="5">
        <v>3344</v>
      </c>
    </row>
    <row r="82" spans="1:22" x14ac:dyDescent="0.3">
      <c r="A82" s="3">
        <v>38990</v>
      </c>
      <c r="B82" s="5"/>
      <c r="C82" s="5"/>
      <c r="D82" s="5"/>
      <c r="E82" s="5"/>
      <c r="F82" s="5"/>
      <c r="G82" s="5"/>
      <c r="H82" s="12"/>
      <c r="I82" s="5"/>
      <c r="J82" s="5"/>
      <c r="K82" s="5"/>
      <c r="L82" s="5">
        <v>1263</v>
      </c>
      <c r="M82" s="12">
        <v>1061</v>
      </c>
      <c r="N82" s="5">
        <v>655</v>
      </c>
      <c r="O82" s="5">
        <v>3431</v>
      </c>
      <c r="P82" s="5">
        <v>1499</v>
      </c>
      <c r="Q82" s="5">
        <v>6050</v>
      </c>
      <c r="R82" s="5">
        <v>165</v>
      </c>
      <c r="S82" s="5">
        <v>2060</v>
      </c>
      <c r="T82" s="5">
        <v>2562</v>
      </c>
      <c r="U82" s="5">
        <v>1400</v>
      </c>
      <c r="V82" s="5">
        <v>3380</v>
      </c>
    </row>
    <row r="83" spans="1:22" x14ac:dyDescent="0.3">
      <c r="A83" s="3">
        <v>39082</v>
      </c>
      <c r="B83" s="5"/>
      <c r="C83" s="5"/>
      <c r="D83" s="5"/>
      <c r="E83" s="5"/>
      <c r="F83" s="5"/>
      <c r="G83" s="5"/>
      <c r="H83" s="12"/>
      <c r="I83" s="5"/>
      <c r="J83" s="5"/>
      <c r="K83" s="5"/>
      <c r="L83" s="5">
        <v>1277</v>
      </c>
      <c r="M83" s="12">
        <v>1045</v>
      </c>
      <c r="N83" s="5">
        <v>785</v>
      </c>
      <c r="O83" s="5">
        <v>3521</v>
      </c>
      <c r="P83" s="5">
        <v>1544</v>
      </c>
      <c r="Q83" s="5">
        <v>6139</v>
      </c>
      <c r="R83" s="5">
        <v>156</v>
      </c>
      <c r="S83" s="5">
        <v>2109</v>
      </c>
      <c r="T83" s="5">
        <v>2574</v>
      </c>
      <c r="U83" s="5">
        <v>1431</v>
      </c>
      <c r="V83" s="5">
        <v>3336</v>
      </c>
    </row>
    <row r="84" spans="1:22" x14ac:dyDescent="0.3">
      <c r="A84" s="3">
        <v>39172</v>
      </c>
      <c r="B84" s="5"/>
      <c r="C84" s="5"/>
      <c r="D84" s="5"/>
      <c r="E84" s="5"/>
      <c r="F84" s="5"/>
      <c r="G84" s="5"/>
      <c r="H84" s="12"/>
      <c r="I84" s="5"/>
      <c r="J84" s="5"/>
      <c r="K84" s="5"/>
      <c r="L84" s="5">
        <v>1274</v>
      </c>
      <c r="M84" s="12">
        <v>1093</v>
      </c>
      <c r="N84" s="5">
        <v>787</v>
      </c>
      <c r="O84" s="5">
        <v>3487</v>
      </c>
      <c r="P84" s="5">
        <v>1602</v>
      </c>
      <c r="Q84" s="5">
        <v>6260</v>
      </c>
      <c r="R84" s="5">
        <v>150</v>
      </c>
      <c r="S84" s="5">
        <v>2149</v>
      </c>
      <c r="T84" s="5">
        <v>2638</v>
      </c>
      <c r="U84" s="5">
        <v>1470</v>
      </c>
      <c r="V84" s="5">
        <v>3380</v>
      </c>
    </row>
    <row r="85" spans="1:22" x14ac:dyDescent="0.3">
      <c r="A85" s="3">
        <v>39263</v>
      </c>
      <c r="B85" s="5"/>
      <c r="C85" s="5"/>
      <c r="D85" s="5"/>
      <c r="E85" s="5"/>
      <c r="F85" s="5"/>
      <c r="G85" s="5"/>
      <c r="H85" s="12"/>
      <c r="I85" s="5"/>
      <c r="J85" s="5"/>
      <c r="K85" s="5"/>
      <c r="L85" s="5">
        <v>1292</v>
      </c>
      <c r="M85" s="12">
        <v>1096</v>
      </c>
      <c r="N85" s="5">
        <v>779</v>
      </c>
      <c r="O85" s="5">
        <v>3563</v>
      </c>
      <c r="P85" s="5">
        <v>1599</v>
      </c>
      <c r="Q85" s="5">
        <v>6344</v>
      </c>
      <c r="R85" s="5">
        <v>157</v>
      </c>
      <c r="S85" s="5">
        <v>2156</v>
      </c>
      <c r="T85" s="5">
        <v>2616</v>
      </c>
      <c r="U85" s="5">
        <v>1470</v>
      </c>
      <c r="V85" s="5">
        <v>3454</v>
      </c>
    </row>
    <row r="86" spans="1:22" x14ac:dyDescent="0.3">
      <c r="A86" s="3">
        <v>39355</v>
      </c>
      <c r="B86" s="5"/>
      <c r="C86" s="5"/>
      <c r="D86" s="5"/>
      <c r="E86" s="5"/>
      <c r="F86" s="5"/>
      <c r="G86" s="5"/>
      <c r="H86" s="12"/>
      <c r="I86" s="5"/>
      <c r="J86" s="5"/>
      <c r="K86" s="5"/>
      <c r="L86" s="5">
        <v>1298</v>
      </c>
      <c r="M86" s="12">
        <v>1071</v>
      </c>
      <c r="N86" s="5">
        <v>789</v>
      </c>
      <c r="O86" s="5">
        <v>3618</v>
      </c>
      <c r="P86" s="5">
        <v>1578</v>
      </c>
      <c r="Q86" s="5">
        <v>6456</v>
      </c>
      <c r="R86" s="5">
        <v>182</v>
      </c>
      <c r="S86" s="5">
        <v>2178</v>
      </c>
      <c r="T86" s="5">
        <v>2605</v>
      </c>
      <c r="U86" s="5">
        <v>1485</v>
      </c>
      <c r="V86" s="5">
        <v>3476</v>
      </c>
    </row>
    <row r="87" spans="1:22" x14ac:dyDescent="0.3">
      <c r="A87" s="3">
        <v>39447</v>
      </c>
      <c r="B87" s="5"/>
      <c r="C87" s="5"/>
      <c r="D87" s="5"/>
      <c r="E87" s="5"/>
      <c r="F87" s="5"/>
      <c r="G87" s="5"/>
      <c r="H87" s="12"/>
      <c r="I87" s="5"/>
      <c r="J87" s="5"/>
      <c r="K87" s="5"/>
      <c r="L87" s="5">
        <v>1322</v>
      </c>
      <c r="M87" s="12">
        <v>1101</v>
      </c>
      <c r="N87" s="5">
        <v>788</v>
      </c>
      <c r="O87" s="5">
        <v>3692</v>
      </c>
      <c r="P87" s="5">
        <v>1546</v>
      </c>
      <c r="Q87" s="5">
        <v>6566</v>
      </c>
      <c r="R87" s="5">
        <v>174</v>
      </c>
      <c r="S87" s="5">
        <v>2174</v>
      </c>
      <c r="T87" s="5">
        <v>2598</v>
      </c>
      <c r="U87" s="5">
        <v>1504</v>
      </c>
      <c r="V87" s="5">
        <v>3620</v>
      </c>
    </row>
    <row r="88" spans="1:22" x14ac:dyDescent="0.3">
      <c r="A88" s="3">
        <v>39538</v>
      </c>
      <c r="B88" s="5"/>
      <c r="C88" s="5"/>
      <c r="D88" s="5"/>
      <c r="E88" s="5"/>
      <c r="F88" s="5"/>
      <c r="G88" s="5"/>
      <c r="H88" s="12"/>
      <c r="I88" s="5"/>
      <c r="J88" s="5"/>
      <c r="K88" s="5"/>
      <c r="L88" s="5">
        <v>1349</v>
      </c>
      <c r="M88" s="12">
        <v>1107</v>
      </c>
      <c r="N88" s="5">
        <v>811</v>
      </c>
      <c r="O88" s="5">
        <v>3835</v>
      </c>
      <c r="P88" s="5">
        <v>1545</v>
      </c>
      <c r="Q88" s="5">
        <v>6684</v>
      </c>
      <c r="R88" s="5">
        <v>174</v>
      </c>
      <c r="S88" s="5">
        <v>2156</v>
      </c>
      <c r="T88" s="5">
        <v>2696</v>
      </c>
      <c r="U88" s="5">
        <v>1560</v>
      </c>
      <c r="V88" s="5">
        <v>3724</v>
      </c>
    </row>
    <row r="89" spans="1:22" x14ac:dyDescent="0.3">
      <c r="A89" s="3">
        <v>39629</v>
      </c>
      <c r="B89" s="5"/>
      <c r="C89" s="5"/>
      <c r="D89" s="5"/>
      <c r="E89" s="5"/>
      <c r="F89" s="5"/>
      <c r="G89" s="5"/>
      <c r="H89" s="12"/>
      <c r="I89" s="5"/>
      <c r="J89" s="5"/>
      <c r="K89" s="5"/>
      <c r="L89" s="5">
        <v>1325</v>
      </c>
      <c r="M89" s="12">
        <v>1073</v>
      </c>
      <c r="N89" s="5">
        <v>837</v>
      </c>
      <c r="O89" s="5">
        <v>3779</v>
      </c>
      <c r="P89" s="5">
        <v>1531</v>
      </c>
      <c r="Q89" s="5">
        <v>6786</v>
      </c>
      <c r="R89" s="5">
        <v>183</v>
      </c>
      <c r="S89" s="5">
        <v>2177</v>
      </c>
      <c r="T89" s="5">
        <v>2658</v>
      </c>
      <c r="U89" s="5">
        <v>1499</v>
      </c>
      <c r="V89" s="5">
        <v>3638</v>
      </c>
    </row>
    <row r="90" spans="1:22" x14ac:dyDescent="0.3">
      <c r="A90" s="3">
        <v>39721</v>
      </c>
      <c r="B90" s="5"/>
      <c r="C90" s="5"/>
      <c r="D90" s="5"/>
      <c r="E90" s="5"/>
      <c r="F90" s="5"/>
      <c r="G90" s="5"/>
      <c r="H90" s="12"/>
      <c r="I90" s="5"/>
      <c r="J90" s="5"/>
      <c r="K90" s="5"/>
      <c r="L90" s="5">
        <v>1344</v>
      </c>
      <c r="M90" s="12">
        <v>1126</v>
      </c>
      <c r="N90" s="5">
        <v>839</v>
      </c>
      <c r="O90" s="5">
        <v>3833</v>
      </c>
      <c r="P90" s="5">
        <v>1520</v>
      </c>
      <c r="Q90" s="5">
        <v>6910</v>
      </c>
      <c r="R90" s="5">
        <v>182</v>
      </c>
      <c r="S90" s="5">
        <v>2217</v>
      </c>
      <c r="T90" s="5">
        <v>2679</v>
      </c>
      <c r="U90" s="5">
        <v>1598</v>
      </c>
      <c r="V90" s="5">
        <v>3661</v>
      </c>
    </row>
    <row r="91" spans="1:22" x14ac:dyDescent="0.3">
      <c r="A91" s="3">
        <v>39813</v>
      </c>
      <c r="B91" s="5"/>
      <c r="C91" s="5"/>
      <c r="D91" s="5"/>
      <c r="E91" s="5"/>
      <c r="F91" s="5"/>
      <c r="G91" s="5"/>
      <c r="H91" s="12"/>
      <c r="I91" s="5"/>
      <c r="J91" s="5"/>
      <c r="K91" s="5"/>
      <c r="L91" s="5">
        <v>1331</v>
      </c>
      <c r="M91" s="12">
        <v>1139</v>
      </c>
      <c r="N91" s="5">
        <v>856</v>
      </c>
      <c r="O91" s="5">
        <v>3901</v>
      </c>
      <c r="P91" s="5">
        <v>1515</v>
      </c>
      <c r="Q91" s="5">
        <v>6992</v>
      </c>
      <c r="R91" s="5">
        <v>205</v>
      </c>
      <c r="S91" s="5">
        <v>2283</v>
      </c>
      <c r="T91" s="5">
        <v>2715</v>
      </c>
      <c r="U91" s="5">
        <v>1586</v>
      </c>
      <c r="V91" s="5">
        <v>3497</v>
      </c>
    </row>
    <row r="92" spans="1:22" x14ac:dyDescent="0.3">
      <c r="A92" s="3">
        <v>39903</v>
      </c>
      <c r="B92" s="5"/>
      <c r="C92" s="5"/>
      <c r="D92" s="5"/>
      <c r="E92" s="5"/>
      <c r="F92" s="5"/>
      <c r="G92" s="5"/>
      <c r="H92" s="12"/>
      <c r="I92" s="5"/>
      <c r="J92" s="5"/>
      <c r="K92" s="5"/>
      <c r="L92" s="5">
        <v>1338</v>
      </c>
      <c r="M92" s="12">
        <v>1128</v>
      </c>
      <c r="N92" s="5">
        <v>843</v>
      </c>
      <c r="O92" s="5">
        <v>3983</v>
      </c>
      <c r="P92" s="5">
        <v>1469</v>
      </c>
      <c r="Q92" s="5">
        <v>7049</v>
      </c>
      <c r="R92" s="5">
        <v>186</v>
      </c>
      <c r="S92" s="5">
        <v>2386</v>
      </c>
      <c r="T92" s="5">
        <v>2612</v>
      </c>
      <c r="U92" s="5">
        <v>1421</v>
      </c>
      <c r="V92" s="5">
        <v>3222</v>
      </c>
    </row>
    <row r="93" spans="1:22" x14ac:dyDescent="0.3">
      <c r="A93" s="3">
        <v>39994</v>
      </c>
      <c r="B93" s="5"/>
      <c r="C93" s="5"/>
      <c r="D93" s="5"/>
      <c r="E93" s="5"/>
      <c r="F93" s="5"/>
      <c r="G93" s="5"/>
      <c r="H93" s="12"/>
      <c r="I93" s="5"/>
      <c r="J93" s="5"/>
      <c r="K93" s="5"/>
      <c r="L93" s="5">
        <v>1374</v>
      </c>
      <c r="M93" s="12">
        <v>1151</v>
      </c>
      <c r="N93" s="5">
        <v>864</v>
      </c>
      <c r="O93" s="5">
        <v>4145</v>
      </c>
      <c r="P93" s="5">
        <v>1483</v>
      </c>
      <c r="Q93" s="5">
        <v>7143</v>
      </c>
      <c r="R93" s="5">
        <v>157</v>
      </c>
      <c r="S93" s="5">
        <v>2501</v>
      </c>
      <c r="T93" s="5">
        <v>2586</v>
      </c>
      <c r="U93" s="5">
        <v>1575</v>
      </c>
      <c r="V93" s="5">
        <v>3218</v>
      </c>
    </row>
    <row r="94" spans="1:22" x14ac:dyDescent="0.3">
      <c r="A94" s="3">
        <v>40086</v>
      </c>
      <c r="B94" s="5"/>
      <c r="C94" s="5"/>
      <c r="D94" s="5"/>
      <c r="E94" s="5"/>
      <c r="F94" s="5"/>
      <c r="G94" s="5"/>
      <c r="H94" s="12"/>
      <c r="I94" s="5"/>
      <c r="J94" s="5"/>
      <c r="K94" s="5"/>
      <c r="L94" s="5">
        <v>1398</v>
      </c>
      <c r="M94" s="12">
        <v>1155</v>
      </c>
      <c r="N94" s="5">
        <v>872</v>
      </c>
      <c r="O94" s="5">
        <v>4227</v>
      </c>
      <c r="P94" s="5">
        <v>1512</v>
      </c>
      <c r="Q94" s="5">
        <v>7175</v>
      </c>
      <c r="R94" s="5">
        <v>141</v>
      </c>
      <c r="S94" s="5">
        <v>2535</v>
      </c>
      <c r="T94" s="5">
        <v>2582</v>
      </c>
      <c r="U94" s="5">
        <v>1496</v>
      </c>
      <c r="V94" s="5">
        <v>3335</v>
      </c>
    </row>
    <row r="95" spans="1:22" x14ac:dyDescent="0.3">
      <c r="A95" s="3">
        <v>40178</v>
      </c>
      <c r="B95" s="5"/>
      <c r="C95" s="5"/>
      <c r="D95" s="5"/>
      <c r="E95" s="5"/>
      <c r="F95" s="5"/>
      <c r="G95" s="5"/>
      <c r="H95" s="12"/>
      <c r="I95" s="5"/>
      <c r="J95" s="5"/>
      <c r="K95" s="5"/>
      <c r="L95" s="5">
        <v>1398</v>
      </c>
      <c r="M95" s="12">
        <v>1166</v>
      </c>
      <c r="N95" s="5">
        <v>872</v>
      </c>
      <c r="O95" s="5">
        <v>4107</v>
      </c>
      <c r="P95" s="5">
        <v>1523</v>
      </c>
      <c r="Q95" s="5">
        <v>7257</v>
      </c>
      <c r="R95" s="5">
        <v>132</v>
      </c>
      <c r="S95" s="5">
        <v>2546</v>
      </c>
      <c r="T95" s="5">
        <v>2629</v>
      </c>
      <c r="U95" s="5">
        <v>1558</v>
      </c>
      <c r="V95" s="5">
        <v>3485</v>
      </c>
    </row>
    <row r="96" spans="1:22" x14ac:dyDescent="0.3">
      <c r="A96" s="3">
        <v>40268</v>
      </c>
      <c r="B96" s="5"/>
      <c r="C96" s="5"/>
      <c r="D96" s="5"/>
      <c r="E96" s="5"/>
      <c r="F96" s="5"/>
      <c r="G96" s="5"/>
      <c r="H96" s="12"/>
      <c r="I96" s="5"/>
      <c r="J96" s="5"/>
      <c r="K96" s="5"/>
      <c r="L96" s="5">
        <v>1399</v>
      </c>
      <c r="M96" s="12">
        <v>1194</v>
      </c>
      <c r="N96" s="5">
        <v>892</v>
      </c>
      <c r="O96" s="5">
        <v>4088</v>
      </c>
      <c r="P96" s="5">
        <v>1528</v>
      </c>
      <c r="Q96" s="5">
        <v>7339</v>
      </c>
      <c r="R96" s="5">
        <v>133</v>
      </c>
      <c r="S96" s="5">
        <v>2578</v>
      </c>
      <c r="T96" s="5">
        <v>2631</v>
      </c>
      <c r="U96" s="5">
        <v>1592</v>
      </c>
      <c r="V96" s="5">
        <v>3728</v>
      </c>
    </row>
    <row r="97" spans="1:22" x14ac:dyDescent="0.3">
      <c r="A97" s="3">
        <v>40359</v>
      </c>
      <c r="B97" s="5"/>
      <c r="C97" s="5"/>
      <c r="D97" s="5"/>
      <c r="E97" s="5"/>
      <c r="F97" s="5"/>
      <c r="G97" s="5"/>
      <c r="H97" s="12"/>
      <c r="I97" s="5"/>
      <c r="J97" s="5"/>
      <c r="K97" s="5"/>
      <c r="L97" s="5">
        <v>1421</v>
      </c>
      <c r="M97" s="12">
        <v>1222</v>
      </c>
      <c r="N97" s="5">
        <v>921</v>
      </c>
      <c r="O97" s="5">
        <v>4137</v>
      </c>
      <c r="P97" s="5">
        <v>1538</v>
      </c>
      <c r="Q97" s="5">
        <v>7421</v>
      </c>
      <c r="R97" s="5">
        <v>130</v>
      </c>
      <c r="S97" s="5">
        <v>2531</v>
      </c>
      <c r="T97" s="5">
        <v>2608</v>
      </c>
      <c r="U97" s="5">
        <v>1594</v>
      </c>
      <c r="V97" s="5">
        <v>3682</v>
      </c>
    </row>
    <row r="98" spans="1:22" x14ac:dyDescent="0.3">
      <c r="A98" s="3">
        <v>40451</v>
      </c>
      <c r="B98" s="5"/>
      <c r="C98" s="5"/>
      <c r="D98" s="5"/>
      <c r="E98" s="5"/>
      <c r="F98" s="5"/>
      <c r="G98" s="5"/>
      <c r="H98" s="12"/>
      <c r="I98" s="5"/>
      <c r="J98" s="5"/>
      <c r="K98" s="5"/>
      <c r="L98" s="5">
        <v>1427</v>
      </c>
      <c r="M98" s="12">
        <v>1220</v>
      </c>
      <c r="N98" s="5">
        <v>960</v>
      </c>
      <c r="O98" s="5">
        <v>4187</v>
      </c>
      <c r="P98" s="5">
        <v>1564</v>
      </c>
      <c r="Q98" s="5">
        <v>7527</v>
      </c>
      <c r="R98" s="5">
        <v>142</v>
      </c>
      <c r="S98" s="5">
        <v>2525</v>
      </c>
      <c r="T98" s="5">
        <v>2594</v>
      </c>
      <c r="U98" s="5">
        <v>1603</v>
      </c>
      <c r="V98" s="5">
        <v>3694</v>
      </c>
    </row>
    <row r="99" spans="1:22" x14ac:dyDescent="0.3">
      <c r="A99" s="3">
        <v>40543</v>
      </c>
      <c r="B99" s="5"/>
      <c r="C99" s="5"/>
      <c r="D99" s="5"/>
      <c r="E99" s="5"/>
      <c r="F99" s="5"/>
      <c r="G99" s="5"/>
      <c r="H99" s="12"/>
      <c r="I99" s="5"/>
      <c r="J99" s="5"/>
      <c r="K99" s="5"/>
      <c r="L99" s="5">
        <v>1477</v>
      </c>
      <c r="M99" s="12">
        <v>1220</v>
      </c>
      <c r="N99" s="5">
        <v>988</v>
      </c>
      <c r="O99" s="5">
        <v>4352</v>
      </c>
      <c r="P99" s="5">
        <v>1512</v>
      </c>
      <c r="Q99" s="5">
        <v>7616</v>
      </c>
      <c r="R99" s="5">
        <v>134</v>
      </c>
      <c r="S99" s="5">
        <v>2552</v>
      </c>
      <c r="T99" s="5">
        <v>2615</v>
      </c>
      <c r="U99" s="5">
        <v>1660</v>
      </c>
      <c r="V99" s="5">
        <v>3746</v>
      </c>
    </row>
    <row r="100" spans="1:22" x14ac:dyDescent="0.3">
      <c r="A100" s="3">
        <v>40633</v>
      </c>
      <c r="B100" s="5"/>
      <c r="C100" s="5"/>
      <c r="D100" s="5"/>
      <c r="E100" s="5"/>
      <c r="F100" s="5"/>
      <c r="G100" s="5"/>
      <c r="H100" s="12"/>
      <c r="I100" s="5"/>
      <c r="J100" s="5"/>
      <c r="K100" s="5"/>
      <c r="L100" s="5">
        <v>1482</v>
      </c>
      <c r="M100" s="12">
        <v>1213</v>
      </c>
      <c r="N100" s="5">
        <v>1016</v>
      </c>
      <c r="O100" s="5">
        <v>4411</v>
      </c>
      <c r="P100" s="5">
        <v>1557</v>
      </c>
      <c r="Q100" s="5">
        <v>7712</v>
      </c>
      <c r="R100" s="5">
        <v>149</v>
      </c>
      <c r="S100" s="5">
        <v>2589</v>
      </c>
      <c r="T100" s="5">
        <v>2678</v>
      </c>
      <c r="U100" s="5">
        <v>1704</v>
      </c>
      <c r="V100" s="5">
        <v>3822</v>
      </c>
    </row>
    <row r="101" spans="1:22" x14ac:dyDescent="0.3">
      <c r="A101" s="3">
        <v>40724</v>
      </c>
      <c r="B101" s="5"/>
      <c r="C101" s="5"/>
      <c r="D101" s="5"/>
      <c r="E101" s="5"/>
      <c r="F101" s="5"/>
      <c r="G101" s="5"/>
      <c r="H101" s="12"/>
      <c r="I101" s="5"/>
      <c r="J101" s="5"/>
      <c r="K101" s="5"/>
      <c r="L101" s="5">
        <v>1474</v>
      </c>
      <c r="M101" s="12">
        <v>1221</v>
      </c>
      <c r="N101" s="5">
        <v>1006</v>
      </c>
      <c r="O101" s="5">
        <v>4432</v>
      </c>
      <c r="P101" s="5">
        <v>1579</v>
      </c>
      <c r="Q101" s="5">
        <v>7794</v>
      </c>
      <c r="R101" s="5">
        <v>159</v>
      </c>
      <c r="S101" s="5">
        <v>2662</v>
      </c>
      <c r="T101" s="5">
        <v>2821</v>
      </c>
      <c r="U101" s="5">
        <v>1738</v>
      </c>
      <c r="V101" s="5">
        <v>3952</v>
      </c>
    </row>
    <row r="102" spans="1:22" x14ac:dyDescent="0.3">
      <c r="A102" s="3">
        <v>40816</v>
      </c>
      <c r="B102" s="5"/>
      <c r="C102" s="5"/>
      <c r="D102" s="5"/>
      <c r="E102" s="5"/>
      <c r="F102" s="5"/>
      <c r="G102" s="5"/>
      <c r="H102" s="12"/>
      <c r="I102" s="5"/>
      <c r="J102" s="5"/>
      <c r="K102" s="5"/>
      <c r="L102" s="5">
        <v>1495</v>
      </c>
      <c r="M102" s="12">
        <v>1253</v>
      </c>
      <c r="N102" s="5">
        <v>984</v>
      </c>
      <c r="O102" s="5">
        <v>4497</v>
      </c>
      <c r="P102" s="5">
        <v>1580</v>
      </c>
      <c r="Q102" s="5">
        <v>7881</v>
      </c>
      <c r="R102" s="5">
        <v>175</v>
      </c>
      <c r="S102" s="5">
        <v>2738</v>
      </c>
      <c r="T102" s="5">
        <v>2870</v>
      </c>
      <c r="U102" s="5">
        <v>1805</v>
      </c>
      <c r="V102" s="5">
        <v>3942</v>
      </c>
    </row>
    <row r="103" spans="1:22" x14ac:dyDescent="0.3">
      <c r="A103" s="3">
        <v>40908</v>
      </c>
      <c r="B103" s="5"/>
      <c r="C103" s="5"/>
      <c r="D103" s="5"/>
      <c r="E103" s="5"/>
      <c r="F103" s="5"/>
      <c r="G103" s="5"/>
      <c r="H103" s="12"/>
      <c r="I103" s="5"/>
      <c r="J103" s="5"/>
      <c r="K103" s="5"/>
      <c r="L103" s="5">
        <v>1485</v>
      </c>
      <c r="M103" s="12">
        <v>1248</v>
      </c>
      <c r="N103" s="5">
        <v>978</v>
      </c>
      <c r="O103" s="5">
        <v>4518</v>
      </c>
      <c r="P103" s="5">
        <v>1624</v>
      </c>
      <c r="Q103" s="5">
        <v>7926</v>
      </c>
      <c r="R103" s="5">
        <v>199</v>
      </c>
      <c r="S103" s="5">
        <v>2795</v>
      </c>
      <c r="T103" s="5">
        <v>2817</v>
      </c>
      <c r="U103" s="5">
        <v>1789</v>
      </c>
      <c r="V103" s="5">
        <v>3942</v>
      </c>
    </row>
    <row r="104" spans="1:22" x14ac:dyDescent="0.3">
      <c r="A104" s="3">
        <v>40999</v>
      </c>
      <c r="B104" s="5"/>
      <c r="C104" s="5"/>
      <c r="D104" s="5"/>
      <c r="E104" s="5"/>
      <c r="F104" s="5"/>
      <c r="G104" s="5"/>
      <c r="H104" s="12"/>
      <c r="I104" s="5"/>
      <c r="J104" s="5"/>
      <c r="K104" s="5"/>
      <c r="L104" s="5">
        <v>1495</v>
      </c>
      <c r="M104" s="12">
        <v>1294</v>
      </c>
      <c r="N104" s="5">
        <v>975</v>
      </c>
      <c r="O104" s="5">
        <v>4504</v>
      </c>
      <c r="P104" s="5">
        <v>1630</v>
      </c>
      <c r="Q104" s="5">
        <v>8079</v>
      </c>
      <c r="R104" s="5">
        <v>208</v>
      </c>
      <c r="S104" s="5">
        <v>2822</v>
      </c>
      <c r="T104" s="5">
        <v>2871</v>
      </c>
      <c r="U104" s="5">
        <v>1899</v>
      </c>
      <c r="V104" s="5">
        <v>3993</v>
      </c>
    </row>
    <row r="105" spans="1:22" x14ac:dyDescent="0.3">
      <c r="A105" s="3">
        <v>41090</v>
      </c>
      <c r="B105" s="5"/>
      <c r="C105" s="5"/>
      <c r="D105" s="5"/>
      <c r="E105" s="5"/>
      <c r="F105" s="5"/>
      <c r="G105" s="5"/>
      <c r="H105" s="12"/>
      <c r="I105" s="5"/>
      <c r="J105" s="5"/>
      <c r="K105" s="5"/>
      <c r="L105" s="5">
        <v>1521</v>
      </c>
      <c r="M105" s="12">
        <v>1292</v>
      </c>
      <c r="N105" s="5">
        <v>975</v>
      </c>
      <c r="O105" s="5">
        <v>4510</v>
      </c>
      <c r="P105" s="5">
        <v>1615</v>
      </c>
      <c r="Q105" s="5">
        <v>8173</v>
      </c>
      <c r="R105" s="5">
        <v>234</v>
      </c>
      <c r="S105" s="5">
        <v>2830</v>
      </c>
      <c r="T105" s="5">
        <v>2802</v>
      </c>
      <c r="U105" s="5">
        <v>1850</v>
      </c>
      <c r="V105" s="5">
        <v>4052</v>
      </c>
    </row>
    <row r="106" spans="1:22" x14ac:dyDescent="0.3">
      <c r="A106" s="3">
        <v>41182</v>
      </c>
      <c r="B106" s="5"/>
      <c r="C106" s="5"/>
      <c r="D106" s="5"/>
      <c r="E106" s="5"/>
      <c r="F106" s="5"/>
      <c r="G106" s="5"/>
      <c r="H106" s="12"/>
      <c r="I106" s="5"/>
      <c r="J106" s="5"/>
      <c r="K106" s="5"/>
      <c r="L106" s="5">
        <v>1519</v>
      </c>
      <c r="M106" s="12">
        <v>1298</v>
      </c>
      <c r="N106" s="5">
        <v>994</v>
      </c>
      <c r="O106" s="5">
        <v>4477</v>
      </c>
      <c r="P106" s="5">
        <v>1631</v>
      </c>
      <c r="Q106" s="5">
        <v>8236</v>
      </c>
      <c r="R106" s="5">
        <v>227</v>
      </c>
      <c r="S106" s="5">
        <v>2852</v>
      </c>
      <c r="T106" s="5">
        <v>2787</v>
      </c>
      <c r="U106" s="5">
        <v>1825</v>
      </c>
      <c r="V106" s="5">
        <v>4007</v>
      </c>
    </row>
    <row r="107" spans="1:22" x14ac:dyDescent="0.3">
      <c r="A107" s="3">
        <v>41274</v>
      </c>
      <c r="B107" s="5"/>
      <c r="C107" s="5"/>
      <c r="D107" s="5"/>
      <c r="E107" s="5"/>
      <c r="F107" s="5"/>
      <c r="G107" s="5"/>
      <c r="H107" s="12"/>
      <c r="I107" s="5"/>
      <c r="J107" s="5"/>
      <c r="K107" s="5"/>
      <c r="L107" s="5">
        <v>1538</v>
      </c>
      <c r="M107" s="12">
        <v>1308</v>
      </c>
      <c r="N107" s="5">
        <v>977</v>
      </c>
      <c r="O107" s="5">
        <v>4507</v>
      </c>
      <c r="P107" s="5">
        <v>1650</v>
      </c>
      <c r="Q107" s="5">
        <v>8332</v>
      </c>
      <c r="R107" s="5">
        <v>229</v>
      </c>
      <c r="S107" s="5">
        <v>2919</v>
      </c>
      <c r="T107" s="5">
        <v>2821</v>
      </c>
      <c r="U107" s="5">
        <v>1890</v>
      </c>
      <c r="V107" s="5">
        <v>4082</v>
      </c>
    </row>
    <row r="108" spans="1:22" x14ac:dyDescent="0.3">
      <c r="A108" s="3">
        <v>41364</v>
      </c>
      <c r="B108" s="5"/>
      <c r="C108" s="5"/>
      <c r="D108" s="5"/>
      <c r="E108" s="5"/>
      <c r="F108" s="5"/>
      <c r="G108" s="5"/>
      <c r="H108" s="12"/>
      <c r="I108" s="5"/>
      <c r="J108" s="5"/>
      <c r="K108" s="5"/>
      <c r="L108" s="5">
        <v>1566</v>
      </c>
      <c r="M108" s="12">
        <v>1296</v>
      </c>
      <c r="N108" s="5">
        <v>970</v>
      </c>
      <c r="O108" s="5">
        <v>4575</v>
      </c>
      <c r="P108" s="5">
        <v>1676</v>
      </c>
      <c r="Q108" s="5">
        <v>8448</v>
      </c>
      <c r="R108" s="5">
        <v>226</v>
      </c>
      <c r="S108" s="5">
        <v>2964</v>
      </c>
      <c r="T108" s="5">
        <v>2877</v>
      </c>
      <c r="U108" s="5">
        <v>1921</v>
      </c>
      <c r="V108" s="5">
        <v>4162</v>
      </c>
    </row>
    <row r="109" spans="1:22" x14ac:dyDescent="0.3">
      <c r="A109" s="3">
        <v>41455</v>
      </c>
      <c r="B109" s="5"/>
      <c r="C109" s="5"/>
      <c r="D109" s="5"/>
      <c r="E109" s="5"/>
      <c r="F109" s="5"/>
      <c r="G109" s="5"/>
      <c r="H109" s="12"/>
      <c r="I109" s="5"/>
      <c r="J109" s="5"/>
      <c r="K109" s="5"/>
      <c r="L109" s="5">
        <v>1566</v>
      </c>
      <c r="M109" s="12">
        <v>1337</v>
      </c>
      <c r="N109" s="5">
        <v>956</v>
      </c>
      <c r="O109" s="5">
        <v>4616</v>
      </c>
      <c r="P109" s="5">
        <v>1733</v>
      </c>
      <c r="Q109" s="5">
        <v>8529</v>
      </c>
      <c r="R109" s="5">
        <v>267</v>
      </c>
      <c r="S109" s="5">
        <v>3028</v>
      </c>
      <c r="T109" s="5">
        <v>2897</v>
      </c>
      <c r="U109" s="5">
        <v>2004</v>
      </c>
      <c r="V109" s="5">
        <v>4192</v>
      </c>
    </row>
    <row r="110" spans="1:22" x14ac:dyDescent="0.3">
      <c r="A110" s="3">
        <v>41547</v>
      </c>
      <c r="B110" s="5"/>
      <c r="C110" s="5"/>
      <c r="D110" s="5"/>
      <c r="E110" s="5"/>
      <c r="F110" s="5"/>
      <c r="G110" s="5"/>
      <c r="H110" s="12"/>
      <c r="I110" s="5"/>
      <c r="J110" s="5"/>
      <c r="K110" s="5"/>
      <c r="L110" s="5">
        <v>1573</v>
      </c>
      <c r="M110" s="12">
        <v>1284</v>
      </c>
      <c r="N110" s="5">
        <v>962</v>
      </c>
      <c r="O110" s="5">
        <v>4652</v>
      </c>
      <c r="P110" s="5">
        <v>1759</v>
      </c>
      <c r="Q110" s="5">
        <v>8616</v>
      </c>
      <c r="R110" s="5">
        <v>269</v>
      </c>
      <c r="S110" s="5">
        <v>3082</v>
      </c>
      <c r="T110" s="5">
        <v>2954</v>
      </c>
      <c r="U110" s="5">
        <v>1976</v>
      </c>
      <c r="V110" s="5">
        <v>4303</v>
      </c>
    </row>
    <row r="111" spans="1:22" x14ac:dyDescent="0.3">
      <c r="A111" s="3">
        <v>41639</v>
      </c>
      <c r="B111" s="5"/>
      <c r="C111" s="5"/>
      <c r="D111" s="5"/>
      <c r="E111" s="5"/>
      <c r="F111" s="5"/>
      <c r="G111" s="5"/>
      <c r="H111" s="12"/>
      <c r="I111" s="5"/>
      <c r="J111" s="5"/>
      <c r="K111" s="5"/>
      <c r="L111" s="5">
        <v>1600</v>
      </c>
      <c r="M111" s="12">
        <v>1353</v>
      </c>
      <c r="N111" s="5">
        <v>966</v>
      </c>
      <c r="O111" s="5">
        <v>4663</v>
      </c>
      <c r="P111" s="5">
        <v>1781</v>
      </c>
      <c r="Q111" s="5">
        <v>8722</v>
      </c>
      <c r="R111" s="5">
        <v>269</v>
      </c>
      <c r="S111" s="5">
        <v>3100</v>
      </c>
      <c r="T111" s="5">
        <v>2962</v>
      </c>
      <c r="U111" s="5">
        <v>2032</v>
      </c>
      <c r="V111" s="5">
        <v>4407</v>
      </c>
    </row>
    <row r="112" spans="1:22" x14ac:dyDescent="0.3">
      <c r="A112" s="3">
        <v>41729</v>
      </c>
      <c r="B112" s="5"/>
      <c r="C112" s="5"/>
      <c r="D112" s="5"/>
      <c r="E112" s="5"/>
      <c r="F112" s="5"/>
      <c r="G112" s="5"/>
      <c r="H112" s="12"/>
      <c r="I112" s="5"/>
      <c r="J112" s="5"/>
      <c r="K112" s="5"/>
      <c r="L112" s="5">
        <v>1628</v>
      </c>
      <c r="M112" s="12">
        <v>1360</v>
      </c>
      <c r="N112" s="5">
        <v>957</v>
      </c>
      <c r="O112" s="5">
        <v>4650</v>
      </c>
      <c r="P112" s="5">
        <v>1794</v>
      </c>
      <c r="Q112" s="5">
        <v>8798</v>
      </c>
      <c r="R112" s="5">
        <v>288</v>
      </c>
      <c r="S112" s="5">
        <v>3132</v>
      </c>
      <c r="T112" s="5">
        <v>2972</v>
      </c>
      <c r="U112" s="5">
        <v>2108</v>
      </c>
      <c r="V112" s="5">
        <v>4491</v>
      </c>
    </row>
    <row r="113" spans="1:22" x14ac:dyDescent="0.3">
      <c r="A113" s="3">
        <v>41820</v>
      </c>
      <c r="B113" s="5"/>
      <c r="C113" s="5"/>
      <c r="D113" s="5"/>
      <c r="E113" s="5"/>
      <c r="F113" s="5"/>
      <c r="G113" s="5"/>
      <c r="H113" s="12"/>
      <c r="I113" s="5"/>
      <c r="J113" s="5"/>
      <c r="K113" s="5"/>
      <c r="L113" s="5">
        <v>1660</v>
      </c>
      <c r="M113" s="12">
        <v>1336</v>
      </c>
      <c r="N113" s="5">
        <v>952</v>
      </c>
      <c r="O113" s="5">
        <v>4697</v>
      </c>
      <c r="P113" s="5">
        <v>1819</v>
      </c>
      <c r="Q113" s="5">
        <v>8927</v>
      </c>
      <c r="R113" s="5">
        <v>284</v>
      </c>
      <c r="S113" s="5">
        <v>3154</v>
      </c>
      <c r="T113" s="5">
        <v>2994</v>
      </c>
      <c r="U113" s="5">
        <v>2060</v>
      </c>
      <c r="V113" s="5">
        <v>4498</v>
      </c>
    </row>
    <row r="114" spans="1:22" x14ac:dyDescent="0.3">
      <c r="A114" s="3">
        <v>41912</v>
      </c>
      <c r="B114" s="5"/>
      <c r="C114" s="5"/>
      <c r="D114" s="5"/>
      <c r="E114" s="5"/>
      <c r="F114" s="5"/>
      <c r="G114" s="5"/>
      <c r="H114" s="12"/>
      <c r="I114" s="5"/>
      <c r="J114" s="5"/>
      <c r="K114" s="5"/>
      <c r="L114" s="5">
        <v>1709</v>
      </c>
      <c r="M114" s="12">
        <v>1359</v>
      </c>
      <c r="N114" s="5">
        <v>951</v>
      </c>
      <c r="O114" s="5">
        <v>4761</v>
      </c>
      <c r="P114" s="5">
        <v>1860</v>
      </c>
      <c r="Q114" s="5">
        <v>9069</v>
      </c>
      <c r="R114" s="5">
        <v>298</v>
      </c>
      <c r="S114" s="5">
        <v>3178</v>
      </c>
      <c r="T114" s="5">
        <v>3014</v>
      </c>
      <c r="U114" s="5">
        <v>2061</v>
      </c>
      <c r="V114" s="5">
        <v>4542</v>
      </c>
    </row>
    <row r="115" spans="1:22" x14ac:dyDescent="0.3">
      <c r="A115" s="3">
        <v>42004</v>
      </c>
      <c r="B115" s="5"/>
      <c r="C115" s="5"/>
      <c r="D115" s="5"/>
      <c r="E115" s="5"/>
      <c r="F115" s="5"/>
      <c r="G115" s="5"/>
      <c r="H115" s="12"/>
      <c r="I115" s="5"/>
      <c r="J115" s="5"/>
      <c r="K115" s="5"/>
      <c r="L115" s="5">
        <v>1727</v>
      </c>
      <c r="M115" s="12">
        <v>1360</v>
      </c>
      <c r="N115" s="5">
        <v>946</v>
      </c>
      <c r="O115" s="5">
        <v>4789</v>
      </c>
      <c r="P115" s="5">
        <v>1888</v>
      </c>
      <c r="Q115" s="5">
        <v>9175</v>
      </c>
      <c r="R115" s="5">
        <v>314</v>
      </c>
      <c r="S115" s="5">
        <v>3230</v>
      </c>
      <c r="T115" s="5">
        <v>3041</v>
      </c>
      <c r="U115" s="5">
        <v>1966</v>
      </c>
      <c r="V115" s="5">
        <v>4570</v>
      </c>
    </row>
    <row r="116" spans="1:22" x14ac:dyDescent="0.3">
      <c r="A116" s="3">
        <v>42094</v>
      </c>
      <c r="B116" s="5"/>
      <c r="C116" s="5"/>
      <c r="D116" s="5"/>
      <c r="E116" s="5"/>
      <c r="F116" s="5"/>
      <c r="G116" s="5"/>
      <c r="H116" s="12"/>
      <c r="I116" s="5"/>
      <c r="J116" s="5"/>
      <c r="K116" s="5"/>
      <c r="L116" s="5">
        <v>1752</v>
      </c>
      <c r="M116" s="12">
        <v>1374</v>
      </c>
      <c r="N116" s="5">
        <v>936</v>
      </c>
      <c r="O116" s="5">
        <v>4882</v>
      </c>
      <c r="P116" s="5">
        <v>1945</v>
      </c>
      <c r="Q116" s="5">
        <v>9280</v>
      </c>
      <c r="R116" s="5">
        <v>317</v>
      </c>
      <c r="S116" s="5">
        <v>3292</v>
      </c>
      <c r="T116" s="5">
        <v>3139</v>
      </c>
      <c r="U116" s="5">
        <v>1937</v>
      </c>
      <c r="V116" s="5">
        <v>4602</v>
      </c>
    </row>
    <row r="117" spans="1:22" x14ac:dyDescent="0.3">
      <c r="A117" s="3">
        <v>42185</v>
      </c>
      <c r="B117" s="5"/>
      <c r="C117" s="5"/>
      <c r="D117" s="5"/>
      <c r="E117" s="5"/>
      <c r="F117" s="5"/>
      <c r="G117" s="5"/>
      <c r="H117" s="12"/>
      <c r="I117" s="5"/>
      <c r="J117" s="5"/>
      <c r="K117" s="5"/>
      <c r="L117" s="5">
        <v>1778</v>
      </c>
      <c r="M117" s="12">
        <v>1382</v>
      </c>
      <c r="N117" s="5">
        <v>943</v>
      </c>
      <c r="O117" s="5">
        <v>4916</v>
      </c>
      <c r="P117" s="5">
        <v>1946</v>
      </c>
      <c r="Q117" s="5">
        <v>9400</v>
      </c>
      <c r="R117" s="5">
        <v>307</v>
      </c>
      <c r="S117" s="5">
        <v>3352</v>
      </c>
      <c r="T117" s="5">
        <v>3192</v>
      </c>
      <c r="U117" s="5">
        <v>1988</v>
      </c>
      <c r="V117" s="5">
        <v>4686</v>
      </c>
    </row>
    <row r="118" spans="1:22" x14ac:dyDescent="0.3">
      <c r="A118" s="3">
        <v>42277</v>
      </c>
      <c r="B118" s="5"/>
      <c r="C118" s="5"/>
      <c r="D118" s="5"/>
      <c r="E118" s="5"/>
      <c r="F118" s="5"/>
      <c r="G118" s="5"/>
      <c r="H118" s="12"/>
      <c r="I118" s="5"/>
      <c r="J118" s="5"/>
      <c r="K118" s="5"/>
      <c r="L118" s="5">
        <v>1817</v>
      </c>
      <c r="M118" s="12">
        <v>1390</v>
      </c>
      <c r="N118" s="5">
        <v>938</v>
      </c>
      <c r="O118" s="5">
        <v>4976</v>
      </c>
      <c r="P118" s="5">
        <v>1997</v>
      </c>
      <c r="Q118" s="5">
        <v>9513</v>
      </c>
      <c r="R118" s="5">
        <v>338</v>
      </c>
      <c r="S118" s="5">
        <v>3455</v>
      </c>
      <c r="T118" s="5">
        <v>3207</v>
      </c>
      <c r="U118" s="5">
        <v>2057</v>
      </c>
      <c r="V118" s="5">
        <v>4779</v>
      </c>
    </row>
    <row r="119" spans="1:22" x14ac:dyDescent="0.3">
      <c r="A119" s="3">
        <v>42369</v>
      </c>
      <c r="B119" s="5"/>
      <c r="C119" s="5"/>
      <c r="D119" s="5"/>
      <c r="E119" s="5"/>
      <c r="F119" s="5"/>
      <c r="G119" s="5"/>
      <c r="H119" s="12"/>
      <c r="I119" s="5"/>
      <c r="J119" s="5"/>
      <c r="K119" s="5"/>
      <c r="L119" s="5">
        <v>1849</v>
      </c>
      <c r="M119" s="12">
        <v>1421</v>
      </c>
      <c r="N119" s="5">
        <v>946</v>
      </c>
      <c r="O119" s="5">
        <v>4971</v>
      </c>
      <c r="P119" s="5">
        <v>2042</v>
      </c>
      <c r="Q119" s="5">
        <v>9635</v>
      </c>
      <c r="R119" s="5">
        <v>350</v>
      </c>
      <c r="S119" s="5">
        <v>3508</v>
      </c>
      <c r="T119" s="5">
        <v>3274</v>
      </c>
      <c r="U119" s="5">
        <v>2145</v>
      </c>
      <c r="V119" s="5">
        <v>4744</v>
      </c>
    </row>
    <row r="120" spans="1:22" x14ac:dyDescent="0.3">
      <c r="A120" s="3">
        <v>42460</v>
      </c>
      <c r="B120" s="5"/>
      <c r="C120" s="5"/>
      <c r="D120" s="5"/>
      <c r="E120" s="5"/>
      <c r="F120" s="5"/>
      <c r="G120" s="5"/>
      <c r="H120" s="12"/>
      <c r="I120" s="5"/>
      <c r="J120" s="5"/>
      <c r="K120" s="5"/>
      <c r="L120" s="5">
        <v>1884</v>
      </c>
      <c r="M120" s="12">
        <v>1430</v>
      </c>
      <c r="N120" s="5">
        <v>958</v>
      </c>
      <c r="O120" s="5">
        <v>5048</v>
      </c>
      <c r="P120" s="5">
        <v>2067</v>
      </c>
      <c r="Q120" s="5">
        <v>9690</v>
      </c>
      <c r="R120" s="5">
        <v>346</v>
      </c>
      <c r="S120" s="5">
        <v>3581</v>
      </c>
      <c r="T120" s="5">
        <v>3270</v>
      </c>
      <c r="U120" s="5">
        <v>2087</v>
      </c>
      <c r="V120" s="5">
        <v>4747</v>
      </c>
    </row>
    <row r="121" spans="1:22" x14ac:dyDescent="0.3">
      <c r="A121" s="3">
        <v>42551</v>
      </c>
      <c r="B121" s="5">
        <v>28421</v>
      </c>
      <c r="C121" s="5">
        <v>10469</v>
      </c>
      <c r="D121" s="5">
        <v>7648</v>
      </c>
      <c r="E121" s="5">
        <v>1176</v>
      </c>
      <c r="F121" s="5">
        <v>4132</v>
      </c>
      <c r="G121" s="5">
        <v>901</v>
      </c>
      <c r="H121" s="12">
        <v>8645</v>
      </c>
      <c r="I121" s="5">
        <v>3890</v>
      </c>
      <c r="J121" s="5">
        <v>1718</v>
      </c>
      <c r="K121" s="5">
        <v>1233</v>
      </c>
      <c r="L121" s="5">
        <v>1954</v>
      </c>
      <c r="M121" s="12">
        <v>1465</v>
      </c>
      <c r="N121" s="5">
        <v>964</v>
      </c>
      <c r="O121" s="5">
        <v>5114</v>
      </c>
      <c r="P121" s="5">
        <v>2108</v>
      </c>
      <c r="Q121" s="5">
        <v>9832</v>
      </c>
      <c r="R121" s="5">
        <v>363</v>
      </c>
      <c r="S121" s="5">
        <v>3688</v>
      </c>
      <c r="T121" s="5">
        <v>3383</v>
      </c>
      <c r="U121" s="5">
        <v>2304</v>
      </c>
      <c r="V121" s="5">
        <v>4929</v>
      </c>
    </row>
    <row r="122" spans="1:22" x14ac:dyDescent="0.3">
      <c r="A122" s="3">
        <v>42643</v>
      </c>
      <c r="B122" s="5">
        <v>28710</v>
      </c>
      <c r="C122" s="5">
        <v>10561</v>
      </c>
      <c r="D122" s="5">
        <v>7643</v>
      </c>
      <c r="E122" s="5">
        <v>1309</v>
      </c>
      <c r="F122" s="5">
        <v>3805</v>
      </c>
      <c r="G122" s="5">
        <v>927</v>
      </c>
      <c r="H122" s="12">
        <v>8751</v>
      </c>
      <c r="I122" s="5">
        <v>3955</v>
      </c>
      <c r="J122" s="5">
        <v>1749</v>
      </c>
      <c r="K122" s="5">
        <v>1264</v>
      </c>
      <c r="L122" s="5">
        <v>1998</v>
      </c>
      <c r="M122" s="12">
        <v>1452</v>
      </c>
      <c r="N122" s="5">
        <v>969</v>
      </c>
      <c r="O122" s="5">
        <v>5129</v>
      </c>
      <c r="P122" s="5">
        <v>2117</v>
      </c>
      <c r="Q122" s="5">
        <v>9999</v>
      </c>
      <c r="R122" s="5">
        <v>353</v>
      </c>
      <c r="S122" s="5">
        <v>3695</v>
      </c>
      <c r="T122" s="5">
        <v>3423</v>
      </c>
      <c r="U122" s="5">
        <v>2410</v>
      </c>
      <c r="V122" s="5">
        <v>5077</v>
      </c>
    </row>
    <row r="123" spans="1:22" x14ac:dyDescent="0.3">
      <c r="A123" s="3">
        <v>42735</v>
      </c>
      <c r="B123" s="5">
        <v>28706</v>
      </c>
      <c r="C123" s="5">
        <v>11071</v>
      </c>
      <c r="D123" s="5">
        <v>7753</v>
      </c>
      <c r="E123" s="5">
        <v>1223</v>
      </c>
      <c r="F123" s="5">
        <v>3862</v>
      </c>
      <c r="G123" s="5">
        <v>967</v>
      </c>
      <c r="H123" s="12">
        <v>8833</v>
      </c>
      <c r="I123" s="5">
        <v>3928</v>
      </c>
      <c r="J123" s="5">
        <v>1742</v>
      </c>
      <c r="K123" s="5">
        <v>1297</v>
      </c>
      <c r="L123" s="5">
        <v>2038</v>
      </c>
      <c r="M123" s="12">
        <v>1451</v>
      </c>
      <c r="N123" s="5">
        <v>963</v>
      </c>
      <c r="O123" s="5">
        <v>5221</v>
      </c>
      <c r="P123" s="5">
        <v>2148</v>
      </c>
      <c r="Q123" s="5">
        <v>10148</v>
      </c>
      <c r="R123" s="5">
        <v>363</v>
      </c>
      <c r="S123" s="5">
        <v>3784</v>
      </c>
      <c r="T123" s="5">
        <v>3497</v>
      </c>
      <c r="U123" s="5">
        <v>2411</v>
      </c>
      <c r="V123" s="5">
        <v>5164</v>
      </c>
    </row>
    <row r="124" spans="1:22" x14ac:dyDescent="0.3">
      <c r="A124" s="3">
        <v>42825</v>
      </c>
      <c r="B124" s="5">
        <v>29623</v>
      </c>
      <c r="C124" s="5">
        <v>11461</v>
      </c>
      <c r="D124" s="5">
        <v>7864</v>
      </c>
      <c r="E124" s="5">
        <v>1172</v>
      </c>
      <c r="F124" s="5">
        <v>3938</v>
      </c>
      <c r="G124" s="5">
        <v>927</v>
      </c>
      <c r="H124" s="12">
        <v>8744</v>
      </c>
      <c r="I124" s="5">
        <v>3981</v>
      </c>
      <c r="J124" s="5">
        <v>1701</v>
      </c>
      <c r="K124" s="5">
        <v>1329</v>
      </c>
      <c r="L124" s="5">
        <v>2080</v>
      </c>
      <c r="M124" s="12">
        <v>1480</v>
      </c>
      <c r="N124" s="5">
        <v>963</v>
      </c>
      <c r="O124" s="5">
        <v>5294</v>
      </c>
      <c r="P124" s="5">
        <v>2185</v>
      </c>
      <c r="Q124" s="5">
        <v>10314</v>
      </c>
      <c r="R124" s="5">
        <v>376</v>
      </c>
      <c r="S124" s="5">
        <v>3845</v>
      </c>
      <c r="T124" s="5">
        <v>3581</v>
      </c>
      <c r="U124" s="5">
        <v>2547</v>
      </c>
      <c r="V124" s="5">
        <v>5537</v>
      </c>
    </row>
    <row r="125" spans="1:22" x14ac:dyDescent="0.3">
      <c r="A125" s="3">
        <v>42916</v>
      </c>
      <c r="B125" s="5">
        <v>29835</v>
      </c>
      <c r="C125" s="5">
        <v>11296</v>
      </c>
      <c r="D125" s="5">
        <v>7891</v>
      </c>
      <c r="E125" s="5">
        <v>1134</v>
      </c>
      <c r="F125" s="5">
        <v>4090</v>
      </c>
      <c r="G125" s="5">
        <v>936</v>
      </c>
      <c r="H125" s="12">
        <v>9280</v>
      </c>
      <c r="I125" s="5">
        <v>3992</v>
      </c>
      <c r="J125" s="5">
        <v>1719</v>
      </c>
      <c r="K125" s="5">
        <v>1333</v>
      </c>
      <c r="L125" s="5">
        <v>2093</v>
      </c>
      <c r="M125" s="12">
        <v>1503</v>
      </c>
      <c r="N125" s="5">
        <v>966</v>
      </c>
      <c r="O125" s="5">
        <v>5395</v>
      </c>
      <c r="P125" s="5">
        <v>2207</v>
      </c>
      <c r="Q125" s="5">
        <v>10477</v>
      </c>
      <c r="R125" s="5">
        <v>386</v>
      </c>
      <c r="S125" s="5">
        <v>3921</v>
      </c>
      <c r="T125" s="5">
        <v>3595</v>
      </c>
      <c r="U125" s="5">
        <v>2595</v>
      </c>
      <c r="V125" s="5">
        <v>5422</v>
      </c>
    </row>
    <row r="126" spans="1:22" x14ac:dyDescent="0.3">
      <c r="A126" s="3">
        <v>43008</v>
      </c>
      <c r="B126" s="5">
        <v>30310</v>
      </c>
      <c r="C126" s="5">
        <v>11578</v>
      </c>
      <c r="D126" s="5">
        <v>7872</v>
      </c>
      <c r="E126" s="5">
        <v>1232</v>
      </c>
      <c r="F126" s="5">
        <v>4141</v>
      </c>
      <c r="G126" s="5">
        <v>911</v>
      </c>
      <c r="H126" s="12">
        <v>9291</v>
      </c>
      <c r="I126" s="5">
        <v>4053</v>
      </c>
      <c r="J126" s="5">
        <v>1697</v>
      </c>
      <c r="K126" s="5">
        <v>1371</v>
      </c>
      <c r="L126" s="5">
        <v>2116</v>
      </c>
      <c r="M126" s="12">
        <v>1542</v>
      </c>
      <c r="N126" s="5">
        <v>961</v>
      </c>
      <c r="O126" s="5">
        <v>5484</v>
      </c>
      <c r="P126" s="5">
        <v>2229</v>
      </c>
      <c r="Q126" s="5">
        <v>10637</v>
      </c>
      <c r="R126" s="5">
        <v>383</v>
      </c>
      <c r="S126" s="5">
        <v>4001</v>
      </c>
      <c r="T126" s="5">
        <v>3632</v>
      </c>
      <c r="U126" s="5">
        <v>2580</v>
      </c>
      <c r="V126" s="5">
        <v>5495</v>
      </c>
    </row>
    <row r="127" spans="1:22" x14ac:dyDescent="0.3">
      <c r="A127" s="3">
        <v>43100</v>
      </c>
      <c r="B127" s="5">
        <v>30996</v>
      </c>
      <c r="C127" s="5">
        <v>11923</v>
      </c>
      <c r="D127" s="5">
        <v>8020</v>
      </c>
      <c r="E127" s="5">
        <v>1379</v>
      </c>
      <c r="F127" s="5">
        <v>4109</v>
      </c>
      <c r="G127" s="5">
        <v>998</v>
      </c>
      <c r="H127" s="12">
        <v>9270</v>
      </c>
      <c r="I127" s="5">
        <v>4092</v>
      </c>
      <c r="J127" s="5">
        <v>1698</v>
      </c>
      <c r="K127" s="5">
        <v>1400</v>
      </c>
      <c r="L127" s="5">
        <v>2158</v>
      </c>
      <c r="M127" s="12">
        <v>1552</v>
      </c>
      <c r="N127" s="5">
        <v>958</v>
      </c>
      <c r="O127" s="5">
        <v>5608</v>
      </c>
      <c r="P127" s="5">
        <v>2257</v>
      </c>
      <c r="Q127" s="5">
        <v>10814</v>
      </c>
      <c r="R127" s="5">
        <v>409</v>
      </c>
      <c r="S127" s="5">
        <v>4106</v>
      </c>
      <c r="T127" s="5">
        <v>3632</v>
      </c>
      <c r="U127" s="5">
        <v>2631</v>
      </c>
      <c r="V127" s="5">
        <v>5662</v>
      </c>
    </row>
    <row r="128" spans="1:22" x14ac:dyDescent="0.3">
      <c r="A128" s="3">
        <v>43190</v>
      </c>
      <c r="B128" s="5">
        <v>31376</v>
      </c>
      <c r="C128" s="5">
        <v>12120</v>
      </c>
      <c r="D128" s="5">
        <v>8161</v>
      </c>
      <c r="E128" s="5">
        <v>1258</v>
      </c>
      <c r="F128" s="5">
        <v>4161</v>
      </c>
      <c r="G128" s="5">
        <v>960</v>
      </c>
      <c r="H128" s="12">
        <v>9603</v>
      </c>
      <c r="I128" s="5">
        <v>4220</v>
      </c>
      <c r="J128" s="5">
        <v>1705</v>
      </c>
      <c r="K128" s="5">
        <v>1433</v>
      </c>
      <c r="L128" s="5">
        <v>2143</v>
      </c>
      <c r="M128" s="12">
        <v>1500</v>
      </c>
      <c r="N128" s="5">
        <v>965</v>
      </c>
      <c r="O128" s="5">
        <v>5579</v>
      </c>
      <c r="P128" s="5">
        <v>2301</v>
      </c>
      <c r="Q128" s="5">
        <v>10955</v>
      </c>
      <c r="R128" s="5">
        <v>429</v>
      </c>
      <c r="S128" s="5">
        <v>4160</v>
      </c>
      <c r="T128" s="5">
        <v>3682</v>
      </c>
      <c r="U128" s="5">
        <v>2640</v>
      </c>
      <c r="V128" s="5">
        <v>5825</v>
      </c>
    </row>
    <row r="129" spans="1:22" x14ac:dyDescent="0.3">
      <c r="A129" s="3">
        <v>43281</v>
      </c>
      <c r="B129" s="5">
        <v>31806</v>
      </c>
      <c r="C129" s="5">
        <v>12355</v>
      </c>
      <c r="D129" s="5">
        <v>8073</v>
      </c>
      <c r="E129" s="5">
        <v>1202</v>
      </c>
      <c r="F129" s="5">
        <v>4273</v>
      </c>
      <c r="G129" s="5">
        <v>1078</v>
      </c>
      <c r="H129" s="12">
        <v>9326</v>
      </c>
      <c r="I129" s="5">
        <v>4178</v>
      </c>
      <c r="J129" s="5">
        <v>1730</v>
      </c>
      <c r="K129" s="5">
        <v>1435</v>
      </c>
      <c r="L129" s="5">
        <v>2152</v>
      </c>
      <c r="M129" s="12">
        <v>1564</v>
      </c>
      <c r="N129" s="5">
        <v>969</v>
      </c>
      <c r="O129" s="5">
        <v>5650</v>
      </c>
      <c r="P129" s="5">
        <v>2343</v>
      </c>
      <c r="Q129" s="5">
        <v>11166</v>
      </c>
      <c r="R129" s="5">
        <v>440</v>
      </c>
      <c r="S129" s="5">
        <v>4261</v>
      </c>
      <c r="T129" s="5">
        <v>3740</v>
      </c>
      <c r="U129" s="5">
        <v>2659</v>
      </c>
      <c r="V129" s="5">
        <v>5972</v>
      </c>
    </row>
    <row r="130" spans="1:22" x14ac:dyDescent="0.3">
      <c r="A130" s="3">
        <v>43373</v>
      </c>
      <c r="B130" s="5">
        <v>32195</v>
      </c>
      <c r="C130" s="5">
        <v>12349</v>
      </c>
      <c r="D130" s="5">
        <v>8588</v>
      </c>
      <c r="E130" s="5">
        <v>1305</v>
      </c>
      <c r="F130" s="5">
        <v>4325</v>
      </c>
      <c r="G130" s="5">
        <v>1094</v>
      </c>
      <c r="H130" s="12">
        <v>9896</v>
      </c>
      <c r="I130" s="5">
        <v>4139</v>
      </c>
      <c r="J130" s="5">
        <v>1765</v>
      </c>
      <c r="K130" s="5">
        <v>1464</v>
      </c>
      <c r="L130" s="5">
        <v>2174</v>
      </c>
      <c r="M130" s="12">
        <v>1620</v>
      </c>
      <c r="N130" s="5">
        <v>958</v>
      </c>
      <c r="O130" s="5">
        <v>5658</v>
      </c>
      <c r="P130" s="5">
        <v>2383</v>
      </c>
      <c r="Q130" s="5">
        <v>11312</v>
      </c>
      <c r="R130" s="5">
        <v>451</v>
      </c>
      <c r="S130" s="5">
        <v>4355</v>
      </c>
      <c r="T130" s="5">
        <v>3859</v>
      </c>
      <c r="U130" s="5">
        <v>2734</v>
      </c>
      <c r="V130" s="5">
        <v>6133</v>
      </c>
    </row>
    <row r="131" spans="1:22" x14ac:dyDescent="0.3">
      <c r="A131" s="3">
        <v>43465</v>
      </c>
      <c r="B131" s="5">
        <v>33157</v>
      </c>
      <c r="C131" s="5">
        <v>12582</v>
      </c>
      <c r="D131" s="5">
        <v>8601</v>
      </c>
      <c r="E131" s="5">
        <v>1192</v>
      </c>
      <c r="F131" s="5">
        <v>4414</v>
      </c>
      <c r="G131" s="5">
        <v>1230</v>
      </c>
      <c r="H131" s="12">
        <v>9985</v>
      </c>
      <c r="I131" s="5">
        <v>4256</v>
      </c>
      <c r="J131" s="5">
        <v>1787</v>
      </c>
      <c r="K131" s="5">
        <v>1494</v>
      </c>
      <c r="L131" s="5">
        <v>2241</v>
      </c>
      <c r="M131" s="12">
        <v>1646</v>
      </c>
      <c r="N131" s="5">
        <v>950</v>
      </c>
      <c r="O131" s="5">
        <v>5741</v>
      </c>
      <c r="P131" s="5">
        <v>2409</v>
      </c>
      <c r="Q131" s="5">
        <v>11441</v>
      </c>
      <c r="R131" s="5">
        <v>470</v>
      </c>
      <c r="S131" s="5">
        <v>4454</v>
      </c>
      <c r="T131" s="5">
        <v>3895</v>
      </c>
      <c r="U131" s="5">
        <v>2818</v>
      </c>
      <c r="V131" s="5">
        <v>6154</v>
      </c>
    </row>
    <row r="132" spans="1:22" x14ac:dyDescent="0.3">
      <c r="A132" s="3">
        <v>43555</v>
      </c>
      <c r="B132" s="5">
        <v>33072</v>
      </c>
      <c r="C132" s="5">
        <v>12732</v>
      </c>
      <c r="D132" s="5">
        <v>8719</v>
      </c>
      <c r="E132" s="5">
        <v>1174</v>
      </c>
      <c r="F132" s="5">
        <v>4426</v>
      </c>
      <c r="G132" s="5">
        <v>1149</v>
      </c>
      <c r="H132" s="12">
        <v>10333</v>
      </c>
      <c r="I132" s="5">
        <v>4274</v>
      </c>
      <c r="J132" s="5">
        <v>1772</v>
      </c>
      <c r="K132" s="5">
        <v>1522</v>
      </c>
      <c r="L132" s="5">
        <v>2265</v>
      </c>
      <c r="M132" s="12">
        <v>1623</v>
      </c>
      <c r="N132" s="5">
        <v>943</v>
      </c>
      <c r="O132" s="5">
        <v>5711</v>
      </c>
      <c r="P132" s="5">
        <v>2426</v>
      </c>
      <c r="Q132" s="5">
        <v>11646</v>
      </c>
      <c r="R132" s="5">
        <v>494</v>
      </c>
      <c r="S132" s="5">
        <v>4583</v>
      </c>
      <c r="T132" s="5">
        <v>3813</v>
      </c>
      <c r="U132" s="5">
        <v>2778</v>
      </c>
      <c r="V132" s="5">
        <v>5996</v>
      </c>
    </row>
    <row r="133" spans="1:22" x14ac:dyDescent="0.3">
      <c r="A133" s="3">
        <v>43646</v>
      </c>
      <c r="B133" s="5">
        <v>33900</v>
      </c>
      <c r="C133" s="5">
        <v>13318</v>
      </c>
      <c r="D133" s="5">
        <v>9030</v>
      </c>
      <c r="E133" s="5">
        <v>1216</v>
      </c>
      <c r="F133" s="5">
        <v>4577</v>
      </c>
      <c r="G133" s="5">
        <v>1268</v>
      </c>
      <c r="H133" s="12">
        <v>10392</v>
      </c>
      <c r="I133" s="5">
        <v>4477</v>
      </c>
      <c r="J133" s="5">
        <v>1744</v>
      </c>
      <c r="K133" s="5">
        <v>1523</v>
      </c>
      <c r="L133" s="5">
        <v>2335</v>
      </c>
      <c r="M133" s="12">
        <v>1668</v>
      </c>
      <c r="N133" s="5">
        <v>958</v>
      </c>
      <c r="O133" s="5">
        <v>5697</v>
      </c>
      <c r="P133" s="5">
        <v>2453</v>
      </c>
      <c r="Q133" s="5">
        <v>11855</v>
      </c>
      <c r="R133" s="5">
        <v>533</v>
      </c>
      <c r="S133" s="5">
        <v>4649</v>
      </c>
      <c r="T133" s="5">
        <v>3983</v>
      </c>
      <c r="U133" s="5">
        <v>2827</v>
      </c>
      <c r="V133" s="5">
        <v>6012</v>
      </c>
    </row>
    <row r="134" spans="1:22" x14ac:dyDescent="0.3">
      <c r="A134" s="3">
        <v>43738</v>
      </c>
      <c r="B134" s="5">
        <v>34491</v>
      </c>
      <c r="C134" s="5">
        <v>13598</v>
      </c>
      <c r="D134" s="5">
        <v>9166</v>
      </c>
      <c r="E134" s="5">
        <v>1227</v>
      </c>
      <c r="F134" s="5">
        <v>4522</v>
      </c>
      <c r="G134" s="5">
        <v>1287</v>
      </c>
      <c r="H134" s="12">
        <v>10341</v>
      </c>
      <c r="I134" s="5">
        <v>4609</v>
      </c>
      <c r="J134" s="5">
        <v>1667</v>
      </c>
      <c r="K134" s="5">
        <v>1550</v>
      </c>
      <c r="L134" s="5">
        <v>2402</v>
      </c>
      <c r="M134" s="12">
        <v>1703</v>
      </c>
      <c r="N134" s="5">
        <v>974</v>
      </c>
      <c r="O134" s="5">
        <v>5723</v>
      </c>
      <c r="P134" s="5">
        <v>2524</v>
      </c>
      <c r="Q134" s="5">
        <v>12040</v>
      </c>
      <c r="R134" s="5">
        <v>581</v>
      </c>
      <c r="S134" s="5">
        <v>4730</v>
      </c>
      <c r="T134" s="5">
        <v>4045</v>
      </c>
      <c r="U134" s="5">
        <v>2864</v>
      </c>
      <c r="V134" s="5">
        <v>5995</v>
      </c>
    </row>
    <row r="135" spans="1:22" x14ac:dyDescent="0.3">
      <c r="A135" s="3">
        <v>43830</v>
      </c>
      <c r="B135" s="5">
        <v>35050</v>
      </c>
      <c r="C135" s="5">
        <v>13973</v>
      </c>
      <c r="D135" s="5">
        <v>9211</v>
      </c>
      <c r="E135" s="5">
        <v>1321</v>
      </c>
      <c r="F135" s="5">
        <v>4327</v>
      </c>
      <c r="G135" s="5">
        <v>1435</v>
      </c>
      <c r="H135" s="12">
        <v>10849</v>
      </c>
      <c r="I135" s="5">
        <v>4745</v>
      </c>
      <c r="J135" s="5">
        <v>1596</v>
      </c>
      <c r="K135" s="5">
        <v>1584</v>
      </c>
      <c r="L135" s="5">
        <v>2461</v>
      </c>
      <c r="M135" s="12">
        <v>1723</v>
      </c>
      <c r="N135" s="5">
        <v>973</v>
      </c>
      <c r="O135" s="5">
        <v>5770</v>
      </c>
      <c r="P135" s="5">
        <v>2554</v>
      </c>
      <c r="Q135" s="5">
        <v>12173</v>
      </c>
      <c r="R135" s="5">
        <v>560</v>
      </c>
      <c r="S135" s="5">
        <v>4734</v>
      </c>
      <c r="T135" s="5">
        <v>4124</v>
      </c>
      <c r="U135" s="5">
        <v>2914</v>
      </c>
      <c r="V135" s="5">
        <v>6002</v>
      </c>
    </row>
    <row r="136" spans="1:22" x14ac:dyDescent="0.3">
      <c r="A136" s="3">
        <v>43921</v>
      </c>
      <c r="B136" s="5">
        <v>35615</v>
      </c>
      <c r="C136" s="5">
        <v>13764</v>
      </c>
      <c r="D136" s="5">
        <v>9473</v>
      </c>
      <c r="E136" s="5">
        <v>1271</v>
      </c>
      <c r="F136" s="5">
        <v>3782</v>
      </c>
      <c r="G136" s="5">
        <v>1448</v>
      </c>
      <c r="H136" s="12">
        <v>10796</v>
      </c>
      <c r="I136" s="5">
        <v>4839</v>
      </c>
      <c r="J136" s="5">
        <v>1566</v>
      </c>
      <c r="K136" s="5">
        <v>1616</v>
      </c>
      <c r="L136" s="5">
        <v>2535</v>
      </c>
      <c r="M136" s="12">
        <v>1575</v>
      </c>
      <c r="N136" s="5">
        <v>957</v>
      </c>
      <c r="O136" s="5">
        <v>6317</v>
      </c>
      <c r="P136" s="5">
        <v>2524</v>
      </c>
      <c r="Q136" s="5">
        <v>12283</v>
      </c>
      <c r="R136" s="5">
        <v>532</v>
      </c>
      <c r="S136" s="5">
        <v>4752</v>
      </c>
      <c r="T136" s="5">
        <v>4060</v>
      </c>
      <c r="U136" s="5">
        <v>2611</v>
      </c>
      <c r="V136" s="5">
        <v>5645</v>
      </c>
    </row>
    <row r="137" spans="1:22" x14ac:dyDescent="0.3">
      <c r="A137" s="3">
        <v>44012</v>
      </c>
      <c r="B137" s="5">
        <v>34360</v>
      </c>
      <c r="C137" s="5">
        <v>14427</v>
      </c>
      <c r="D137" s="5">
        <v>10188</v>
      </c>
      <c r="E137" s="5">
        <v>1180</v>
      </c>
      <c r="F137" s="5">
        <v>4268</v>
      </c>
      <c r="G137" s="5">
        <v>1492</v>
      </c>
      <c r="H137" s="12">
        <v>10245</v>
      </c>
      <c r="I137" s="5">
        <v>4816</v>
      </c>
      <c r="J137" s="5">
        <v>1464</v>
      </c>
      <c r="K137" s="5">
        <v>1644</v>
      </c>
      <c r="L137" s="5">
        <v>2018</v>
      </c>
      <c r="M137" s="12">
        <v>1334</v>
      </c>
      <c r="N137" s="5">
        <v>966</v>
      </c>
      <c r="O137" s="5">
        <v>6123</v>
      </c>
      <c r="P137" s="5">
        <v>2241</v>
      </c>
      <c r="Q137" s="5">
        <v>12309</v>
      </c>
      <c r="R137" s="5">
        <v>518</v>
      </c>
      <c r="S137" s="5">
        <v>4381</v>
      </c>
      <c r="T137" s="5">
        <v>3527</v>
      </c>
      <c r="U137" s="5">
        <v>1963</v>
      </c>
      <c r="V137" s="5">
        <v>3381</v>
      </c>
    </row>
    <row r="138" spans="1:22" x14ac:dyDescent="0.3">
      <c r="A138" s="3">
        <v>44104</v>
      </c>
      <c r="B138" s="5">
        <v>35818</v>
      </c>
      <c r="C138" s="5">
        <v>14901</v>
      </c>
      <c r="D138" s="5">
        <v>10346</v>
      </c>
      <c r="E138" s="5">
        <v>1539</v>
      </c>
      <c r="F138" s="5">
        <v>4660</v>
      </c>
      <c r="G138" s="5">
        <v>1606</v>
      </c>
      <c r="H138" s="12">
        <v>11396</v>
      </c>
      <c r="I138" s="5">
        <v>5014</v>
      </c>
      <c r="J138" s="5">
        <v>1368</v>
      </c>
      <c r="K138" s="5">
        <v>1661</v>
      </c>
      <c r="L138" s="5">
        <v>2489</v>
      </c>
      <c r="M138" s="12">
        <v>1826</v>
      </c>
      <c r="N138" s="5">
        <v>973</v>
      </c>
      <c r="O138" s="5">
        <v>6204</v>
      </c>
      <c r="P138" s="5">
        <v>2931</v>
      </c>
      <c r="Q138" s="5">
        <v>12583</v>
      </c>
      <c r="R138" s="5">
        <v>507</v>
      </c>
      <c r="S138" s="5">
        <v>4766</v>
      </c>
      <c r="T138" s="5">
        <v>4256</v>
      </c>
      <c r="U138" s="5">
        <v>2990</v>
      </c>
      <c r="V138" s="5">
        <v>4836</v>
      </c>
    </row>
    <row r="139" spans="1:22" x14ac:dyDescent="0.3">
      <c r="A139" s="3">
        <v>44196</v>
      </c>
      <c r="B139" s="5">
        <v>36508</v>
      </c>
      <c r="C139" s="5">
        <v>15096</v>
      </c>
      <c r="D139" s="5">
        <v>10284</v>
      </c>
      <c r="E139" s="5">
        <v>1382</v>
      </c>
      <c r="F139" s="5">
        <v>5104</v>
      </c>
      <c r="G139" s="5">
        <v>1733</v>
      </c>
      <c r="H139" s="12">
        <v>11480</v>
      </c>
      <c r="I139" s="5">
        <v>5101</v>
      </c>
      <c r="J139" s="5">
        <v>1293</v>
      </c>
      <c r="K139" s="5">
        <v>1669</v>
      </c>
      <c r="L139" s="5">
        <v>2416</v>
      </c>
      <c r="M139" s="12">
        <v>1909</v>
      </c>
      <c r="N139" s="5">
        <v>980</v>
      </c>
      <c r="O139" s="5">
        <v>6063</v>
      </c>
      <c r="P139" s="5">
        <v>2987</v>
      </c>
      <c r="Q139" s="5">
        <v>12797</v>
      </c>
      <c r="R139" s="5">
        <v>483</v>
      </c>
      <c r="S139" s="5">
        <v>4922</v>
      </c>
      <c r="T139" s="5">
        <v>4419</v>
      </c>
      <c r="U139" s="5">
        <v>3397</v>
      </c>
      <c r="V139" s="5">
        <v>4963</v>
      </c>
    </row>
    <row r="140" spans="1:22" x14ac:dyDescent="0.3">
      <c r="A140" s="3">
        <v>44286</v>
      </c>
      <c r="B140" s="5">
        <v>37412</v>
      </c>
      <c r="C140" s="5">
        <v>15573</v>
      </c>
      <c r="D140" s="5">
        <v>10476</v>
      </c>
      <c r="E140" s="5">
        <v>1493</v>
      </c>
      <c r="F140" s="5">
        <v>4564</v>
      </c>
      <c r="G140" s="5">
        <v>1673</v>
      </c>
      <c r="H140" s="12">
        <v>11985</v>
      </c>
      <c r="I140" s="5">
        <v>5123</v>
      </c>
      <c r="J140" s="5">
        <v>1222</v>
      </c>
      <c r="K140" s="5">
        <v>1681</v>
      </c>
      <c r="L140" s="5">
        <v>2408</v>
      </c>
      <c r="M140" s="12">
        <v>1994</v>
      </c>
      <c r="N140" s="5">
        <v>1021</v>
      </c>
      <c r="O140" s="5">
        <v>6153</v>
      </c>
      <c r="P140" s="5">
        <v>3082</v>
      </c>
      <c r="Q140" s="5">
        <v>13042</v>
      </c>
      <c r="R140" s="5">
        <v>515</v>
      </c>
      <c r="S140" s="5">
        <v>5053</v>
      </c>
      <c r="T140" s="5">
        <v>4872</v>
      </c>
      <c r="U140" s="5">
        <v>4289</v>
      </c>
      <c r="V140" s="5">
        <v>5373</v>
      </c>
    </row>
    <row r="141" spans="1:22" x14ac:dyDescent="0.3">
      <c r="A141" s="3">
        <v>44377</v>
      </c>
      <c r="B141" s="5">
        <v>38344</v>
      </c>
      <c r="C141" s="5">
        <v>15921</v>
      </c>
      <c r="D141" s="5">
        <v>10722</v>
      </c>
      <c r="E141" s="5">
        <v>1478</v>
      </c>
      <c r="F141" s="5">
        <v>3809</v>
      </c>
      <c r="G141" s="5">
        <v>1755</v>
      </c>
      <c r="H141" s="12">
        <v>12613</v>
      </c>
      <c r="I141" s="5">
        <v>5223</v>
      </c>
      <c r="J141" s="5">
        <v>1181</v>
      </c>
      <c r="K141" s="5">
        <v>1810</v>
      </c>
      <c r="L141" s="5">
        <v>2457</v>
      </c>
      <c r="M141" s="12">
        <v>2036</v>
      </c>
      <c r="N141" s="5">
        <v>987</v>
      </c>
      <c r="O141" s="5">
        <v>6285</v>
      </c>
      <c r="P141" s="5">
        <v>3205</v>
      </c>
      <c r="Q141" s="5">
        <v>13121</v>
      </c>
      <c r="R141" s="5">
        <v>521</v>
      </c>
      <c r="S141" s="5">
        <v>5200</v>
      </c>
      <c r="T141" s="5">
        <v>4858</v>
      </c>
      <c r="U141" s="5">
        <v>3823</v>
      </c>
      <c r="V141" s="5">
        <v>5903</v>
      </c>
    </row>
    <row r="142" spans="1:22" x14ac:dyDescent="0.3">
      <c r="A142" s="3">
        <v>44469</v>
      </c>
      <c r="B142" s="5">
        <v>38925</v>
      </c>
      <c r="C142" s="5">
        <v>16464</v>
      </c>
      <c r="D142" s="5">
        <v>10632</v>
      </c>
      <c r="E142" s="5">
        <v>1341</v>
      </c>
      <c r="F142" s="5">
        <v>3542</v>
      </c>
      <c r="G142" s="5">
        <v>1641</v>
      </c>
      <c r="H142" s="12">
        <v>12512</v>
      </c>
      <c r="I142" s="5">
        <v>5280</v>
      </c>
      <c r="J142" s="5">
        <v>1134</v>
      </c>
      <c r="K142" s="5">
        <v>1873</v>
      </c>
      <c r="L142" s="5">
        <v>2324</v>
      </c>
      <c r="M142" s="12">
        <v>1701</v>
      </c>
      <c r="N142" s="5">
        <v>976</v>
      </c>
      <c r="O142" s="5">
        <v>6676</v>
      </c>
      <c r="P142" s="5">
        <v>2749</v>
      </c>
      <c r="Q142" s="5">
        <v>13378</v>
      </c>
      <c r="R142" s="5">
        <v>582</v>
      </c>
      <c r="S142" s="5">
        <v>5009</v>
      </c>
      <c r="T142" s="5">
        <v>4278</v>
      </c>
      <c r="U142" s="5">
        <v>2893</v>
      </c>
      <c r="V142" s="5">
        <v>4944</v>
      </c>
    </row>
    <row r="143" spans="1:22" x14ac:dyDescent="0.3">
      <c r="A143" s="3">
        <v>44561</v>
      </c>
      <c r="B143" s="5">
        <v>40326</v>
      </c>
      <c r="C143" s="5">
        <v>16984</v>
      </c>
      <c r="D143" s="5">
        <v>11007</v>
      </c>
      <c r="E143" s="5">
        <v>1126</v>
      </c>
      <c r="F143" s="5">
        <v>3451</v>
      </c>
      <c r="G143" s="5">
        <v>1680</v>
      </c>
      <c r="H143" s="12">
        <v>13357</v>
      </c>
      <c r="I143" s="5">
        <v>5384</v>
      </c>
      <c r="J143" s="5">
        <v>1169</v>
      </c>
      <c r="K143" s="5">
        <v>1945</v>
      </c>
      <c r="L143" s="5">
        <v>2467</v>
      </c>
      <c r="M143" s="12">
        <v>2083</v>
      </c>
      <c r="N143" s="5">
        <v>1000</v>
      </c>
      <c r="O143" s="5">
        <v>6586</v>
      </c>
      <c r="P143" s="5">
        <v>3213</v>
      </c>
      <c r="Q143" s="5">
        <v>13671</v>
      </c>
      <c r="R143" s="5">
        <v>650</v>
      </c>
      <c r="S143" s="5">
        <v>5389</v>
      </c>
      <c r="T143" s="5">
        <v>4893</v>
      </c>
      <c r="U143" s="5">
        <v>3260</v>
      </c>
      <c r="V143" s="5">
        <v>5382</v>
      </c>
    </row>
    <row r="144" spans="1:22" x14ac:dyDescent="0.3">
      <c r="A144" s="3">
        <v>44651</v>
      </c>
      <c r="B144" s="5">
        <v>40622</v>
      </c>
      <c r="C144" s="5">
        <v>17100</v>
      </c>
      <c r="D144" s="5">
        <v>11146</v>
      </c>
      <c r="E144" s="5">
        <v>932</v>
      </c>
      <c r="F144" s="5">
        <v>3777</v>
      </c>
      <c r="G144" s="5">
        <v>1437</v>
      </c>
      <c r="H144" s="12">
        <v>13511</v>
      </c>
      <c r="I144" s="5">
        <v>5267</v>
      </c>
      <c r="J144" s="5">
        <v>1241</v>
      </c>
      <c r="K144" s="5">
        <v>2037</v>
      </c>
      <c r="L144" s="5">
        <v>2531</v>
      </c>
      <c r="M144" s="12">
        <v>2127</v>
      </c>
      <c r="N144" s="5">
        <v>1042</v>
      </c>
      <c r="O144" s="5">
        <v>6754</v>
      </c>
      <c r="P144" s="5">
        <v>3312</v>
      </c>
      <c r="Q144" s="5">
        <v>14058</v>
      </c>
      <c r="R144" s="5">
        <v>601</v>
      </c>
      <c r="S144" s="5">
        <v>5542</v>
      </c>
      <c r="T144" s="5">
        <v>5294</v>
      </c>
      <c r="U144" s="5">
        <v>4130</v>
      </c>
      <c r="V144" s="5">
        <v>6384</v>
      </c>
    </row>
    <row r="145" spans="1:22" x14ac:dyDescent="0.3">
      <c r="A145" s="3">
        <v>44742</v>
      </c>
      <c r="B145" s="5">
        <v>41516</v>
      </c>
      <c r="C145" s="5">
        <v>16605</v>
      </c>
      <c r="D145" s="5">
        <v>11528</v>
      </c>
      <c r="E145" s="5">
        <v>967</v>
      </c>
      <c r="F145" s="5">
        <v>4202</v>
      </c>
      <c r="G145" s="5">
        <v>1377</v>
      </c>
      <c r="H145" s="12">
        <v>14229</v>
      </c>
      <c r="I145" s="5">
        <v>5218</v>
      </c>
      <c r="J145" s="5">
        <v>1401</v>
      </c>
      <c r="K145" s="5">
        <v>2061</v>
      </c>
      <c r="L145" s="5">
        <v>2535</v>
      </c>
      <c r="M145" s="12">
        <v>2134</v>
      </c>
      <c r="N145" s="5">
        <v>1029</v>
      </c>
      <c r="O145" s="5">
        <v>6684</v>
      </c>
      <c r="P145" s="5">
        <v>3196</v>
      </c>
      <c r="Q145" s="5">
        <v>14229</v>
      </c>
      <c r="R145" s="5">
        <v>592</v>
      </c>
      <c r="S145" s="5">
        <v>5646</v>
      </c>
      <c r="T145" s="5">
        <v>5234</v>
      </c>
      <c r="U145" s="5">
        <v>3917</v>
      </c>
      <c r="V145" s="5">
        <v>6277</v>
      </c>
    </row>
    <row r="146" spans="1:22" x14ac:dyDescent="0.3">
      <c r="A146" s="3">
        <v>44834</v>
      </c>
      <c r="B146" s="5">
        <v>42701</v>
      </c>
      <c r="C146" s="5">
        <v>16023</v>
      </c>
      <c r="D146" s="5">
        <v>12007</v>
      </c>
      <c r="E146" s="5">
        <v>1108</v>
      </c>
      <c r="F146" s="5">
        <v>4448</v>
      </c>
      <c r="G146" s="5">
        <v>1250</v>
      </c>
      <c r="H146" s="12">
        <v>14158</v>
      </c>
      <c r="I146" s="5">
        <v>5176</v>
      </c>
      <c r="J146" s="5">
        <v>1701</v>
      </c>
      <c r="K146" s="5">
        <v>2181</v>
      </c>
      <c r="L146" s="5">
        <v>2577</v>
      </c>
      <c r="M146" s="12">
        <v>2162</v>
      </c>
      <c r="N146" s="5">
        <v>1037</v>
      </c>
      <c r="O146" s="5">
        <v>6877</v>
      </c>
      <c r="P146" s="5">
        <v>3185</v>
      </c>
      <c r="Q146" s="5">
        <v>14471</v>
      </c>
      <c r="R146" s="5">
        <v>573</v>
      </c>
      <c r="S146" s="5">
        <v>5858</v>
      </c>
      <c r="T146" s="5">
        <v>5049</v>
      </c>
      <c r="U146" s="5">
        <v>3949</v>
      </c>
      <c r="V146" s="5">
        <v>7141</v>
      </c>
    </row>
    <row r="147" spans="1:22" x14ac:dyDescent="0.3">
      <c r="A147" s="3">
        <v>44926</v>
      </c>
      <c r="B147" s="5">
        <v>43201</v>
      </c>
      <c r="C147" s="5">
        <v>15889</v>
      </c>
      <c r="D147" s="5">
        <v>12132</v>
      </c>
      <c r="E147" s="5">
        <v>1159</v>
      </c>
      <c r="F147" s="5">
        <v>5036</v>
      </c>
      <c r="G147" s="5">
        <v>1200</v>
      </c>
      <c r="H147" s="12">
        <v>14259</v>
      </c>
      <c r="I147" s="5">
        <v>5153</v>
      </c>
      <c r="J147" s="5">
        <v>2036</v>
      </c>
      <c r="K147" s="5">
        <v>2287</v>
      </c>
      <c r="L147" s="5">
        <v>2682</v>
      </c>
      <c r="M147" s="12">
        <v>2188</v>
      </c>
      <c r="N147" s="5">
        <v>1030</v>
      </c>
      <c r="O147" s="5">
        <v>7170</v>
      </c>
      <c r="P147" s="5">
        <v>3142</v>
      </c>
      <c r="Q147" s="5">
        <v>14765</v>
      </c>
      <c r="R147" s="5">
        <v>586</v>
      </c>
      <c r="S147" s="5">
        <v>5962</v>
      </c>
      <c r="T147" s="5">
        <v>5251</v>
      </c>
      <c r="U147" s="5">
        <v>3981</v>
      </c>
      <c r="V147" s="5">
        <v>7358</v>
      </c>
    </row>
    <row r="148" spans="1:22" x14ac:dyDescent="0.3">
      <c r="A148" s="3">
        <v>45016</v>
      </c>
      <c r="B148" s="5">
        <v>43990</v>
      </c>
      <c r="C148" s="5">
        <v>16106</v>
      </c>
      <c r="D148" s="5">
        <v>12251</v>
      </c>
      <c r="E148" s="5">
        <v>1203</v>
      </c>
      <c r="F148" s="5">
        <v>5298</v>
      </c>
      <c r="G148" s="5">
        <v>1094</v>
      </c>
      <c r="H148" s="12">
        <v>14764</v>
      </c>
      <c r="I148" s="5">
        <v>5159</v>
      </c>
      <c r="J148" s="5">
        <v>2337</v>
      </c>
      <c r="K148" s="5">
        <v>2376</v>
      </c>
      <c r="L148" s="5">
        <v>2562</v>
      </c>
      <c r="M148" s="12">
        <v>2195</v>
      </c>
      <c r="N148" s="5">
        <v>1019</v>
      </c>
      <c r="O148" s="5">
        <v>7276</v>
      </c>
      <c r="P148" s="5">
        <v>3210</v>
      </c>
      <c r="Q148" s="5">
        <v>15066</v>
      </c>
      <c r="R148" s="5">
        <v>600</v>
      </c>
      <c r="S148" s="5">
        <v>6132</v>
      </c>
      <c r="T148" s="5">
        <v>5440</v>
      </c>
      <c r="U148" s="5">
        <v>4081</v>
      </c>
      <c r="V148" s="5">
        <v>7573</v>
      </c>
    </row>
    <row r="149" spans="1:22" x14ac:dyDescent="0.3">
      <c r="A149" s="3">
        <v>45107</v>
      </c>
      <c r="B149" s="5">
        <v>44988</v>
      </c>
      <c r="C149" s="5">
        <v>16883</v>
      </c>
      <c r="D149" s="5">
        <v>12531</v>
      </c>
      <c r="E149" s="5">
        <v>1152</v>
      </c>
      <c r="F149" s="5">
        <v>6225</v>
      </c>
      <c r="G149" s="5">
        <v>1193</v>
      </c>
      <c r="H149" s="12">
        <v>14550</v>
      </c>
      <c r="I149" s="5">
        <v>5448</v>
      </c>
      <c r="J149" s="5">
        <v>2602</v>
      </c>
      <c r="K149" s="5">
        <v>2308</v>
      </c>
      <c r="L149" s="5">
        <v>2579</v>
      </c>
      <c r="M149" s="12">
        <v>2110</v>
      </c>
      <c r="N149" s="5">
        <v>1008</v>
      </c>
      <c r="O149" s="5">
        <v>7373</v>
      </c>
      <c r="P149" s="5">
        <v>3189</v>
      </c>
      <c r="Q149" s="5">
        <v>15369</v>
      </c>
      <c r="R149" s="5">
        <v>644</v>
      </c>
      <c r="S149" s="5">
        <v>6292</v>
      </c>
      <c r="T149" s="5">
        <v>5440</v>
      </c>
      <c r="U149" s="5">
        <v>3960</v>
      </c>
      <c r="V149" s="5">
        <v>8089</v>
      </c>
    </row>
    <row r="150" spans="1:22" x14ac:dyDescent="0.3">
      <c r="A150" s="3">
        <v>45199</v>
      </c>
      <c r="B150" s="5">
        <v>45987</v>
      </c>
      <c r="C150" s="5">
        <v>17045</v>
      </c>
      <c r="D150" s="5">
        <v>12703</v>
      </c>
      <c r="E150" s="5">
        <v>1192</v>
      </c>
      <c r="F150" s="5">
        <v>6694</v>
      </c>
      <c r="G150" s="5">
        <v>1179</v>
      </c>
      <c r="H150" s="12">
        <v>15751</v>
      </c>
      <c r="I150" s="5">
        <v>5498</v>
      </c>
      <c r="J150" s="5">
        <v>2822</v>
      </c>
      <c r="K150" s="5">
        <v>2375</v>
      </c>
      <c r="L150" s="5">
        <v>2606</v>
      </c>
      <c r="M150" s="12">
        <v>2139</v>
      </c>
      <c r="N150" s="5">
        <v>1014</v>
      </c>
      <c r="O150" s="5">
        <v>7469</v>
      </c>
      <c r="P150" s="5">
        <v>3144</v>
      </c>
      <c r="Q150" s="5">
        <v>15671</v>
      </c>
      <c r="R150" s="5">
        <v>662</v>
      </c>
      <c r="S150" s="5">
        <v>6416</v>
      </c>
      <c r="T150" s="5">
        <v>5317</v>
      </c>
      <c r="U150" s="5">
        <v>3926</v>
      </c>
      <c r="V150" s="5">
        <v>7661</v>
      </c>
    </row>
    <row r="151" spans="1:22" x14ac:dyDescent="0.3">
      <c r="A151" s="3">
        <v>45291</v>
      </c>
      <c r="B151" s="5">
        <v>46705</v>
      </c>
      <c r="C151" s="5">
        <v>17055</v>
      </c>
      <c r="D151" s="5">
        <v>13114</v>
      </c>
      <c r="E151" s="5">
        <v>1129</v>
      </c>
      <c r="F151" s="5">
        <v>6741</v>
      </c>
      <c r="G151" s="5">
        <v>1217</v>
      </c>
      <c r="H151" s="12">
        <v>16144</v>
      </c>
      <c r="I151" s="5">
        <v>5729</v>
      </c>
      <c r="J151" s="5">
        <v>2969</v>
      </c>
      <c r="K151" s="5">
        <v>2427</v>
      </c>
      <c r="L151" s="5">
        <v>2617</v>
      </c>
      <c r="M151" s="12">
        <v>2078</v>
      </c>
      <c r="N151" s="5">
        <v>1012</v>
      </c>
      <c r="O151" s="5">
        <v>7509</v>
      </c>
      <c r="P151" s="5">
        <v>3094</v>
      </c>
      <c r="Q151" s="5">
        <v>15948</v>
      </c>
      <c r="R151" s="5">
        <v>691</v>
      </c>
      <c r="S151" s="5">
        <v>6483</v>
      </c>
      <c r="T151" s="5">
        <v>5245</v>
      </c>
      <c r="U151" s="5">
        <v>3934</v>
      </c>
      <c r="V151" s="5">
        <v>7837</v>
      </c>
    </row>
    <row r="152" spans="1:22" x14ac:dyDescent="0.3">
      <c r="A152" s="3">
        <v>45382</v>
      </c>
      <c r="B152" s="5">
        <v>47261</v>
      </c>
      <c r="C152" s="5">
        <v>17363</v>
      </c>
      <c r="D152" s="5">
        <v>13412</v>
      </c>
      <c r="E152" s="5">
        <v>1113</v>
      </c>
      <c r="F152" s="5">
        <v>6855</v>
      </c>
      <c r="G152" s="5">
        <v>1135</v>
      </c>
      <c r="H152" s="12">
        <v>16125</v>
      </c>
      <c r="I152" s="5">
        <v>5790</v>
      </c>
      <c r="J152" s="5">
        <v>3058</v>
      </c>
      <c r="K152" s="5">
        <v>2470</v>
      </c>
      <c r="L152" s="5">
        <v>2643</v>
      </c>
      <c r="M152" s="12">
        <v>2014</v>
      </c>
      <c r="N152" s="5">
        <v>980</v>
      </c>
      <c r="O152" s="5">
        <v>7533</v>
      </c>
      <c r="P152" s="5">
        <v>3075</v>
      </c>
      <c r="Q152" s="5">
        <v>16210</v>
      </c>
      <c r="R152" s="5">
        <v>721</v>
      </c>
      <c r="S152" s="5">
        <v>6542</v>
      </c>
      <c r="T152" s="5">
        <v>5277</v>
      </c>
      <c r="U152" s="5">
        <v>4096</v>
      </c>
      <c r="V152" s="5">
        <v>7583</v>
      </c>
    </row>
    <row r="153" spans="1:22" x14ac:dyDescent="0.3">
      <c r="A153" s="3">
        <v>45473</v>
      </c>
      <c r="B153" s="5">
        <v>47623</v>
      </c>
      <c r="C153" s="5">
        <v>17095</v>
      </c>
      <c r="D153" s="5">
        <v>13636</v>
      </c>
      <c r="E153" s="5">
        <v>1115</v>
      </c>
      <c r="F153" s="5">
        <v>6733</v>
      </c>
      <c r="G153" s="5">
        <v>1181</v>
      </c>
      <c r="H153" s="12">
        <v>16467</v>
      </c>
      <c r="I153" s="5">
        <v>5874</v>
      </c>
      <c r="J153" s="5">
        <v>3131</v>
      </c>
      <c r="K153" s="5">
        <v>2471</v>
      </c>
      <c r="L153" s="5">
        <v>2654</v>
      </c>
      <c r="M153" s="12">
        <v>2038</v>
      </c>
      <c r="N153" s="5">
        <v>1000</v>
      </c>
      <c r="O153" s="5">
        <v>7631</v>
      </c>
      <c r="P153" s="5">
        <v>3074</v>
      </c>
      <c r="Q153" s="5">
        <v>16504</v>
      </c>
      <c r="R153" s="5">
        <v>723</v>
      </c>
      <c r="S153" s="5">
        <v>6630</v>
      </c>
      <c r="T153" s="5">
        <v>5460</v>
      </c>
      <c r="U153" s="5">
        <v>3834</v>
      </c>
      <c r="V153" s="5">
        <v>7377</v>
      </c>
    </row>
    <row r="154" spans="1:22" x14ac:dyDescent="0.3">
      <c r="A154" s="3">
        <v>45565</v>
      </c>
      <c r="B154" s="5">
        <v>47569</v>
      </c>
      <c r="C154" s="5">
        <v>17301</v>
      </c>
      <c r="D154" s="5">
        <v>13801</v>
      </c>
      <c r="E154" s="5">
        <v>1143</v>
      </c>
      <c r="F154" s="5">
        <v>6669</v>
      </c>
      <c r="G154" s="5">
        <v>1085</v>
      </c>
      <c r="H154" s="12">
        <v>16324</v>
      </c>
      <c r="I154" s="5">
        <v>5902</v>
      </c>
      <c r="J154" s="5">
        <v>3156</v>
      </c>
      <c r="K154" s="5">
        <v>2509</v>
      </c>
      <c r="L154" s="5">
        <v>2652</v>
      </c>
      <c r="M154" s="12">
        <v>2035</v>
      </c>
      <c r="N154" s="5">
        <v>1008</v>
      </c>
      <c r="O154" s="5">
        <v>7602</v>
      </c>
      <c r="P154" s="5">
        <v>3089</v>
      </c>
      <c r="Q154" s="5">
        <v>16734</v>
      </c>
      <c r="R154" s="5">
        <v>712</v>
      </c>
      <c r="S154" s="5">
        <v>6709</v>
      </c>
      <c r="T154" s="5">
        <v>5464</v>
      </c>
      <c r="U154" s="5">
        <v>3775</v>
      </c>
      <c r="V154" s="5">
        <v>7378</v>
      </c>
    </row>
    <row r="155" spans="1:22" x14ac:dyDescent="0.3">
      <c r="A155" s="3">
        <v>45657</v>
      </c>
      <c r="B155" s="5">
        <v>47449</v>
      </c>
      <c r="C155" s="5">
        <v>17760</v>
      </c>
      <c r="D155" s="5">
        <v>14086</v>
      </c>
      <c r="E155" s="5">
        <v>1043</v>
      </c>
      <c r="F155" s="5">
        <v>6519</v>
      </c>
      <c r="G155" s="5">
        <v>1046</v>
      </c>
      <c r="H155" s="12">
        <v>16079</v>
      </c>
      <c r="I155" s="5">
        <v>5817</v>
      </c>
      <c r="J155" s="5">
        <v>3013</v>
      </c>
      <c r="K155" s="5">
        <v>2526</v>
      </c>
      <c r="L155" s="5">
        <v>2658</v>
      </c>
      <c r="M155" s="12">
        <v>2047</v>
      </c>
      <c r="N155" s="5">
        <v>988</v>
      </c>
      <c r="O155" s="5">
        <v>7623</v>
      </c>
      <c r="P155" s="5">
        <v>3126</v>
      </c>
      <c r="Q155" s="5">
        <v>16918</v>
      </c>
      <c r="R155" s="5">
        <v>726</v>
      </c>
      <c r="S155" s="5">
        <v>6757</v>
      </c>
      <c r="T155" s="5">
        <v>5517</v>
      </c>
      <c r="U155" s="5">
        <v>3906</v>
      </c>
      <c r="V155" s="5">
        <v>7334</v>
      </c>
    </row>
    <row r="156" spans="1:22" x14ac:dyDescent="0.3">
      <c r="A156" s="3">
        <v>45747</v>
      </c>
      <c r="B156" s="5">
        <v>48095</v>
      </c>
      <c r="C156" s="5">
        <v>17837</v>
      </c>
      <c r="D156" s="5">
        <v>14446</v>
      </c>
      <c r="E156" s="5">
        <v>1140</v>
      </c>
      <c r="F156" s="5">
        <v>6458</v>
      </c>
      <c r="G156" s="5">
        <v>960</v>
      </c>
      <c r="H156" s="12">
        <v>16043</v>
      </c>
      <c r="I156" s="5">
        <v>5940</v>
      </c>
      <c r="J156" s="5">
        <v>2815</v>
      </c>
      <c r="K156" s="5">
        <v>2545</v>
      </c>
      <c r="L156" s="5">
        <v>2638</v>
      </c>
      <c r="M156" s="12">
        <v>2072</v>
      </c>
      <c r="N156" s="5">
        <v>971</v>
      </c>
      <c r="O156" s="5">
        <v>7718</v>
      </c>
      <c r="P156" s="5">
        <v>3153</v>
      </c>
      <c r="Q156" s="5">
        <v>17122</v>
      </c>
      <c r="R156" s="5">
        <v>748</v>
      </c>
      <c r="S156" s="5">
        <v>6818</v>
      </c>
      <c r="T156" s="5">
        <v>5725</v>
      </c>
      <c r="U156" s="5">
        <v>4138</v>
      </c>
      <c r="V156" s="5">
        <v>7705</v>
      </c>
    </row>
    <row r="157" spans="1:22" x14ac:dyDescent="0.3">
      <c r="A157" s="3">
        <v>45838</v>
      </c>
      <c r="B157" s="5">
        <v>48138</v>
      </c>
      <c r="C157" s="5">
        <v>18396</v>
      </c>
      <c r="D157" s="5">
        <v>14626</v>
      </c>
      <c r="E157" s="5">
        <v>1183</v>
      </c>
      <c r="F157" s="5">
        <v>6631</v>
      </c>
      <c r="G157" s="5">
        <v>965</v>
      </c>
      <c r="H157" s="12">
        <v>16020</v>
      </c>
      <c r="I157" s="5">
        <v>5990</v>
      </c>
      <c r="J157" s="5">
        <v>2594</v>
      </c>
      <c r="K157" s="5">
        <v>2569</v>
      </c>
      <c r="L157" s="5">
        <v>2657</v>
      </c>
      <c r="M157" s="12">
        <v>2063</v>
      </c>
      <c r="N157" s="5">
        <v>993</v>
      </c>
      <c r="O157" s="5">
        <v>7867</v>
      </c>
      <c r="P157" s="5">
        <v>3186</v>
      </c>
      <c r="Q157" s="5">
        <v>17332</v>
      </c>
      <c r="R157" s="5">
        <v>758</v>
      </c>
      <c r="S157" s="5">
        <v>6898</v>
      </c>
      <c r="T157" s="5">
        <v>5899</v>
      </c>
      <c r="U157" s="5">
        <v>3982</v>
      </c>
      <c r="V157" s="5">
        <v>7657</v>
      </c>
    </row>
    <row r="158" spans="1:22" x14ac:dyDescent="0.3">
      <c r="A158" s="4"/>
      <c r="B158" s="5"/>
      <c r="C158" s="5"/>
      <c r="D158" s="5"/>
      <c r="E158" s="5"/>
      <c r="F158" s="5"/>
      <c r="G158" s="5"/>
      <c r="H158" s="12"/>
      <c r="I158" s="5"/>
      <c r="J158" s="5"/>
      <c r="K158" s="5"/>
      <c r="L158" s="5"/>
      <c r="M158" s="12"/>
      <c r="N158" s="5"/>
      <c r="O158" s="5"/>
      <c r="P158" s="5"/>
      <c r="Q158" s="5"/>
      <c r="R158" s="5"/>
      <c r="S158" s="5"/>
      <c r="T158" s="5"/>
      <c r="U158" s="5"/>
      <c r="V158" s="5"/>
    </row>
    <row r="165" spans="1:40" s="6" customFormat="1" ht="57.6" x14ac:dyDescent="0.3">
      <c r="B165" s="6" t="str">
        <f>B4</f>
        <v>Compensation of Employees</v>
      </c>
      <c r="C165" s="6" t="str">
        <f t="shared" ref="C165:F165" si="0">C4</f>
        <v>Profit from Production</v>
      </c>
      <c r="D165" s="6" t="str">
        <f t="shared" si="0"/>
        <v>Government Transfers to Hhlds</v>
      </c>
      <c r="E165" s="6" t="str">
        <f t="shared" si="0"/>
        <v>Private Sector Transfers to Hhlds</v>
      </c>
      <c r="F165" s="6" t="str">
        <f t="shared" si="0"/>
        <v>Property Income Receivable</v>
      </c>
      <c r="G165" s="6" t="str">
        <f>G4</f>
        <v>Pension Funds Revaluation Gains</v>
      </c>
      <c r="H165" s="11" t="s">
        <v>32</v>
      </c>
      <c r="I165" s="6" t="str">
        <f>H4</f>
        <v>Hhld Transfers to Government</v>
      </c>
      <c r="J165" s="6" t="str">
        <f>I4</f>
        <v>Hhld Transfers to Private Sector</v>
      </c>
      <c r="K165" s="6" t="str">
        <f>J4</f>
        <v>Property Income Payable</v>
      </c>
      <c r="L165" s="6" t="str">
        <f>K4</f>
        <v>Consumption of Fixed Capital</v>
      </c>
      <c r="M165" s="11" t="s">
        <v>33</v>
      </c>
      <c r="N165" s="6" t="str">
        <f>L4</f>
        <v>Alcoholic beverages, tobacco and illicit drugs</v>
      </c>
      <c r="O165" s="6" t="str">
        <f>M4</f>
        <v>Clothing and footwear</v>
      </c>
      <c r="P165" s="6" t="str">
        <f>N4</f>
        <v>Communication</v>
      </c>
      <c r="Q165" s="6" t="str">
        <f>O4</f>
        <v>Food and nonalcoholic beverages</v>
      </c>
      <c r="R165" s="6" t="str">
        <f>P4</f>
        <v>Household contents and services</v>
      </c>
      <c r="S165" s="6" t="str">
        <f>Q4</f>
        <v>Housing and household utilities</v>
      </c>
      <c r="T165" s="6" t="str">
        <f>R4</f>
        <v>Imports of low value goods purchased directly by households</v>
      </c>
      <c r="U165" s="6" t="str">
        <f>S4</f>
        <v>Miscellaneous goods and services</v>
      </c>
      <c r="V165" s="6" t="str">
        <f>T4</f>
        <v>Recreation and culture</v>
      </c>
      <c r="W165" s="6" t="str">
        <f>U4</f>
        <v>Restaurants and hotels</v>
      </c>
      <c r="X165" s="6" t="str">
        <f>V4</f>
        <v>Transport</v>
      </c>
      <c r="Y165" s="11" t="s">
        <v>34</v>
      </c>
      <c r="Z165" s="6" t="s">
        <v>71</v>
      </c>
      <c r="AA165" s="11" t="s">
        <v>35</v>
      </c>
      <c r="AC165" s="6" t="str">
        <f>N165</f>
        <v>Alcoholic beverages, tobacco and illicit drugs</v>
      </c>
      <c r="AD165" s="6" t="str">
        <f t="shared" ref="AD165:AM165" si="1">O165</f>
        <v>Clothing and footwear</v>
      </c>
      <c r="AE165" s="6" t="str">
        <f t="shared" si="1"/>
        <v>Communication</v>
      </c>
      <c r="AF165" s="6" t="str">
        <f t="shared" si="1"/>
        <v>Food and nonalcoholic beverages</v>
      </c>
      <c r="AG165" s="6" t="str">
        <f t="shared" si="1"/>
        <v>Household contents and services</v>
      </c>
      <c r="AH165" s="6" t="str">
        <f t="shared" si="1"/>
        <v>Housing and household utilities</v>
      </c>
      <c r="AI165" s="6" t="str">
        <f t="shared" si="1"/>
        <v>Imports of low value goods purchased directly by households</v>
      </c>
      <c r="AJ165" s="6" t="str">
        <f t="shared" si="1"/>
        <v>Miscellaneous goods and services</v>
      </c>
      <c r="AK165" s="6" t="str">
        <f t="shared" si="1"/>
        <v>Recreation and culture</v>
      </c>
      <c r="AL165" s="6" t="str">
        <f t="shared" si="1"/>
        <v>Restaurants and hotels</v>
      </c>
      <c r="AM165" s="6" t="str">
        <f t="shared" si="1"/>
        <v>Transport</v>
      </c>
      <c r="AN165" s="6" t="str">
        <f t="shared" ref="AN165" si="2">Y165</f>
        <v>HCE</v>
      </c>
    </row>
    <row r="166" spans="1:40" x14ac:dyDescent="0.3">
      <c r="A166" s="1">
        <f t="shared" ref="A166:F166" si="3">A121</f>
        <v>42551</v>
      </c>
      <c r="B166">
        <f t="shared" si="3"/>
        <v>28421</v>
      </c>
      <c r="C166">
        <f t="shared" si="3"/>
        <v>10469</v>
      </c>
      <c r="D166">
        <f t="shared" si="3"/>
        <v>7648</v>
      </c>
      <c r="E166">
        <f t="shared" si="3"/>
        <v>1176</v>
      </c>
      <c r="F166">
        <f t="shared" si="3"/>
        <v>4132</v>
      </c>
      <c r="G166">
        <f>G121</f>
        <v>901</v>
      </c>
      <c r="H166" s="10">
        <f>SUM(B166:G166)</f>
        <v>52747</v>
      </c>
      <c r="I166">
        <f>H121</f>
        <v>8645</v>
      </c>
      <c r="J166">
        <f>I121</f>
        <v>3890</v>
      </c>
      <c r="K166">
        <f>J121</f>
        <v>1718</v>
      </c>
      <c r="L166">
        <f>K121</f>
        <v>1233</v>
      </c>
      <c r="M166" s="10">
        <f>H166-SUM(I166:L166)</f>
        <v>37261</v>
      </c>
      <c r="N166">
        <f>L121</f>
        <v>1954</v>
      </c>
      <c r="O166">
        <f>M121</f>
        <v>1465</v>
      </c>
      <c r="P166">
        <f>N121</f>
        <v>964</v>
      </c>
      <c r="Q166">
        <f>O121</f>
        <v>5114</v>
      </c>
      <c r="R166">
        <f>P121</f>
        <v>2108</v>
      </c>
      <c r="S166">
        <f>Q121</f>
        <v>9832</v>
      </c>
      <c r="T166">
        <f>R121</f>
        <v>363</v>
      </c>
      <c r="U166">
        <f>S121</f>
        <v>3688</v>
      </c>
      <c r="V166">
        <f>T121</f>
        <v>3383</v>
      </c>
      <c r="W166">
        <f>U121</f>
        <v>2304</v>
      </c>
      <c r="X166">
        <f>V121</f>
        <v>4929</v>
      </c>
      <c r="Y166" s="10">
        <f>SUM(N166:X166)</f>
        <v>36104</v>
      </c>
      <c r="Z166">
        <f>O233-Y166</f>
        <v>1499</v>
      </c>
      <c r="AA166" s="10">
        <f>M166-Y166-Z166</f>
        <v>-342</v>
      </c>
    </row>
    <row r="167" spans="1:40" x14ac:dyDescent="0.3">
      <c r="A167" s="1">
        <f t="shared" ref="A167:F167" si="4">A122</f>
        <v>42643</v>
      </c>
      <c r="B167">
        <f t="shared" si="4"/>
        <v>28710</v>
      </c>
      <c r="C167">
        <f t="shared" si="4"/>
        <v>10561</v>
      </c>
      <c r="D167">
        <f t="shared" si="4"/>
        <v>7643</v>
      </c>
      <c r="E167">
        <f t="shared" si="4"/>
        <v>1309</v>
      </c>
      <c r="F167">
        <f t="shared" si="4"/>
        <v>3805</v>
      </c>
      <c r="G167">
        <f>G122</f>
        <v>927</v>
      </c>
      <c r="H167" s="10">
        <f t="shared" ref="H167:H202" si="5">SUM(B167:G167)</f>
        <v>52955</v>
      </c>
      <c r="I167">
        <f>H122</f>
        <v>8751</v>
      </c>
      <c r="J167">
        <f>I122</f>
        <v>3955</v>
      </c>
      <c r="K167">
        <f>J122</f>
        <v>1749</v>
      </c>
      <c r="L167">
        <f>K122</f>
        <v>1264</v>
      </c>
      <c r="M167" s="10">
        <f t="shared" ref="M167:M202" si="6">H167-SUM(I167:L167)</f>
        <v>37236</v>
      </c>
      <c r="N167">
        <f>L122</f>
        <v>1998</v>
      </c>
      <c r="O167">
        <f>M122</f>
        <v>1452</v>
      </c>
      <c r="P167">
        <f>N122</f>
        <v>969</v>
      </c>
      <c r="Q167">
        <f>O122</f>
        <v>5129</v>
      </c>
      <c r="R167">
        <f>P122</f>
        <v>2117</v>
      </c>
      <c r="S167">
        <f>Q122</f>
        <v>9999</v>
      </c>
      <c r="T167">
        <f>R122</f>
        <v>353</v>
      </c>
      <c r="U167">
        <f>S122</f>
        <v>3695</v>
      </c>
      <c r="V167">
        <f>T122</f>
        <v>3423</v>
      </c>
      <c r="W167">
        <f>U122</f>
        <v>2410</v>
      </c>
      <c r="X167">
        <f>V122</f>
        <v>5077</v>
      </c>
      <c r="Y167" s="10">
        <f t="shared" ref="Y167:Y202" si="7">SUM(N167:X167)</f>
        <v>36622</v>
      </c>
      <c r="Z167">
        <f>O234-Y167</f>
        <v>1543</v>
      </c>
      <c r="AA167" s="10">
        <f t="shared" ref="AA167:AA202" si="8">M167-Y167-Z167</f>
        <v>-929</v>
      </c>
    </row>
    <row r="168" spans="1:40" x14ac:dyDescent="0.3">
      <c r="A168" s="1">
        <f t="shared" ref="A168:F168" si="9">A123</f>
        <v>42735</v>
      </c>
      <c r="B168">
        <f t="shared" si="9"/>
        <v>28706</v>
      </c>
      <c r="C168">
        <f t="shared" si="9"/>
        <v>11071</v>
      </c>
      <c r="D168">
        <f t="shared" si="9"/>
        <v>7753</v>
      </c>
      <c r="E168">
        <f t="shared" si="9"/>
        <v>1223</v>
      </c>
      <c r="F168">
        <f t="shared" si="9"/>
        <v>3862</v>
      </c>
      <c r="G168">
        <f>G123</f>
        <v>967</v>
      </c>
      <c r="H168" s="10">
        <f t="shared" si="5"/>
        <v>53582</v>
      </c>
      <c r="I168">
        <f>H123</f>
        <v>8833</v>
      </c>
      <c r="J168">
        <f>I123</f>
        <v>3928</v>
      </c>
      <c r="K168">
        <f>J123</f>
        <v>1742</v>
      </c>
      <c r="L168">
        <f>K123</f>
        <v>1297</v>
      </c>
      <c r="M168" s="10">
        <f t="shared" si="6"/>
        <v>37782</v>
      </c>
      <c r="N168">
        <f>L123</f>
        <v>2038</v>
      </c>
      <c r="O168">
        <f>M123</f>
        <v>1451</v>
      </c>
      <c r="P168">
        <f>N123</f>
        <v>963</v>
      </c>
      <c r="Q168">
        <f>O123</f>
        <v>5221</v>
      </c>
      <c r="R168">
        <f>P123</f>
        <v>2148</v>
      </c>
      <c r="S168">
        <f>Q123</f>
        <v>10148</v>
      </c>
      <c r="T168">
        <f>R123</f>
        <v>363</v>
      </c>
      <c r="U168">
        <f>S123</f>
        <v>3784</v>
      </c>
      <c r="V168">
        <f>T123</f>
        <v>3497</v>
      </c>
      <c r="W168">
        <f>U123</f>
        <v>2411</v>
      </c>
      <c r="X168">
        <f>V123</f>
        <v>5164</v>
      </c>
      <c r="Y168" s="10">
        <f t="shared" si="7"/>
        <v>37188</v>
      </c>
      <c r="Z168">
        <f>O235-Y168</f>
        <v>1583</v>
      </c>
      <c r="AA168" s="10">
        <f t="shared" si="8"/>
        <v>-989</v>
      </c>
    </row>
    <row r="169" spans="1:40" x14ac:dyDescent="0.3">
      <c r="A169" s="1">
        <f t="shared" ref="A169:F169" si="10">A124</f>
        <v>42825</v>
      </c>
      <c r="B169">
        <f t="shared" si="10"/>
        <v>29623</v>
      </c>
      <c r="C169">
        <f t="shared" si="10"/>
        <v>11461</v>
      </c>
      <c r="D169">
        <f t="shared" si="10"/>
        <v>7864</v>
      </c>
      <c r="E169">
        <f t="shared" si="10"/>
        <v>1172</v>
      </c>
      <c r="F169">
        <f t="shared" si="10"/>
        <v>3938</v>
      </c>
      <c r="G169">
        <f>G124</f>
        <v>927</v>
      </c>
      <c r="H169" s="10">
        <f t="shared" si="5"/>
        <v>54985</v>
      </c>
      <c r="I169">
        <f>H124</f>
        <v>8744</v>
      </c>
      <c r="J169">
        <f>I124</f>
        <v>3981</v>
      </c>
      <c r="K169">
        <f>J124</f>
        <v>1701</v>
      </c>
      <c r="L169">
        <f>K124</f>
        <v>1329</v>
      </c>
      <c r="M169" s="10">
        <f t="shared" si="6"/>
        <v>39230</v>
      </c>
      <c r="N169">
        <f>L124</f>
        <v>2080</v>
      </c>
      <c r="O169">
        <f>M124</f>
        <v>1480</v>
      </c>
      <c r="P169">
        <f>N124</f>
        <v>963</v>
      </c>
      <c r="Q169">
        <f>O124</f>
        <v>5294</v>
      </c>
      <c r="R169">
        <f>P124</f>
        <v>2185</v>
      </c>
      <c r="S169">
        <f>Q124</f>
        <v>10314</v>
      </c>
      <c r="T169">
        <f>R124</f>
        <v>376</v>
      </c>
      <c r="U169">
        <f>S124</f>
        <v>3845</v>
      </c>
      <c r="V169">
        <f>T124</f>
        <v>3581</v>
      </c>
      <c r="W169">
        <f>U124</f>
        <v>2547</v>
      </c>
      <c r="X169">
        <f>V124</f>
        <v>5537</v>
      </c>
      <c r="Y169" s="10">
        <f t="shared" si="7"/>
        <v>38202</v>
      </c>
      <c r="Z169">
        <f>O236-Y169</f>
        <v>1600</v>
      </c>
      <c r="AA169" s="10">
        <f t="shared" si="8"/>
        <v>-572</v>
      </c>
    </row>
    <row r="170" spans="1:40" x14ac:dyDescent="0.3">
      <c r="A170" s="1">
        <f t="shared" ref="A170:F170" si="11">A125</f>
        <v>42916</v>
      </c>
      <c r="B170">
        <f t="shared" si="11"/>
        <v>29835</v>
      </c>
      <c r="C170">
        <f t="shared" si="11"/>
        <v>11296</v>
      </c>
      <c r="D170">
        <f t="shared" si="11"/>
        <v>7891</v>
      </c>
      <c r="E170">
        <f t="shared" si="11"/>
        <v>1134</v>
      </c>
      <c r="F170">
        <f t="shared" si="11"/>
        <v>4090</v>
      </c>
      <c r="G170">
        <f>G125</f>
        <v>936</v>
      </c>
      <c r="H170" s="10">
        <f t="shared" si="5"/>
        <v>55182</v>
      </c>
      <c r="I170">
        <f>H125</f>
        <v>9280</v>
      </c>
      <c r="J170">
        <f>I125</f>
        <v>3992</v>
      </c>
      <c r="K170">
        <f>J125</f>
        <v>1719</v>
      </c>
      <c r="L170">
        <f>K125</f>
        <v>1333</v>
      </c>
      <c r="M170" s="10">
        <f t="shared" si="6"/>
        <v>38858</v>
      </c>
      <c r="N170">
        <f>L125</f>
        <v>2093</v>
      </c>
      <c r="O170">
        <f>M125</f>
        <v>1503</v>
      </c>
      <c r="P170">
        <f>N125</f>
        <v>966</v>
      </c>
      <c r="Q170">
        <f>O125</f>
        <v>5395</v>
      </c>
      <c r="R170">
        <f>P125</f>
        <v>2207</v>
      </c>
      <c r="S170">
        <f>Q125</f>
        <v>10477</v>
      </c>
      <c r="T170">
        <f>R125</f>
        <v>386</v>
      </c>
      <c r="U170">
        <f>S125</f>
        <v>3921</v>
      </c>
      <c r="V170">
        <f>T125</f>
        <v>3595</v>
      </c>
      <c r="W170">
        <f>U125</f>
        <v>2595</v>
      </c>
      <c r="X170">
        <f>V125</f>
        <v>5422</v>
      </c>
      <c r="Y170" s="10">
        <f t="shared" si="7"/>
        <v>38560</v>
      </c>
      <c r="Z170">
        <f>O237-Y170</f>
        <v>1565</v>
      </c>
      <c r="AA170" s="10">
        <f t="shared" si="8"/>
        <v>-1267</v>
      </c>
    </row>
    <row r="171" spans="1:40" x14ac:dyDescent="0.3">
      <c r="A171" s="1">
        <f t="shared" ref="A171:F171" si="12">A126</f>
        <v>43008</v>
      </c>
      <c r="B171">
        <f t="shared" si="12"/>
        <v>30310</v>
      </c>
      <c r="C171">
        <f t="shared" si="12"/>
        <v>11578</v>
      </c>
      <c r="D171">
        <f t="shared" si="12"/>
        <v>7872</v>
      </c>
      <c r="E171">
        <f t="shared" si="12"/>
        <v>1232</v>
      </c>
      <c r="F171">
        <f t="shared" si="12"/>
        <v>4141</v>
      </c>
      <c r="G171">
        <f>G126</f>
        <v>911</v>
      </c>
      <c r="H171" s="10">
        <f t="shared" si="5"/>
        <v>56044</v>
      </c>
      <c r="I171">
        <f>H126</f>
        <v>9291</v>
      </c>
      <c r="J171">
        <f>I126</f>
        <v>4053</v>
      </c>
      <c r="K171">
        <f>J126</f>
        <v>1697</v>
      </c>
      <c r="L171">
        <f>K126</f>
        <v>1371</v>
      </c>
      <c r="M171" s="10">
        <f t="shared" si="6"/>
        <v>39632</v>
      </c>
      <c r="N171">
        <f>L126</f>
        <v>2116</v>
      </c>
      <c r="O171">
        <f>M126</f>
        <v>1542</v>
      </c>
      <c r="P171">
        <f>N126</f>
        <v>961</v>
      </c>
      <c r="Q171">
        <f>O126</f>
        <v>5484</v>
      </c>
      <c r="R171">
        <f>P126</f>
        <v>2229</v>
      </c>
      <c r="S171">
        <f>Q126</f>
        <v>10637</v>
      </c>
      <c r="T171">
        <f>R126</f>
        <v>383</v>
      </c>
      <c r="U171">
        <f>S126</f>
        <v>4001</v>
      </c>
      <c r="V171">
        <f>T126</f>
        <v>3632</v>
      </c>
      <c r="W171">
        <f>U126</f>
        <v>2580</v>
      </c>
      <c r="X171">
        <f>V126</f>
        <v>5495</v>
      </c>
      <c r="Y171" s="10">
        <f t="shared" si="7"/>
        <v>39060</v>
      </c>
      <c r="Z171">
        <f>O238-Y171</f>
        <v>1557</v>
      </c>
      <c r="AA171" s="10">
        <f t="shared" si="8"/>
        <v>-985</v>
      </c>
    </row>
    <row r="172" spans="1:40" x14ac:dyDescent="0.3">
      <c r="A172" s="1">
        <f t="shared" ref="A172:F172" si="13">A127</f>
        <v>43100</v>
      </c>
      <c r="B172">
        <f t="shared" si="13"/>
        <v>30996</v>
      </c>
      <c r="C172">
        <f t="shared" si="13"/>
        <v>11923</v>
      </c>
      <c r="D172">
        <f t="shared" si="13"/>
        <v>8020</v>
      </c>
      <c r="E172">
        <f t="shared" si="13"/>
        <v>1379</v>
      </c>
      <c r="F172">
        <f t="shared" si="13"/>
        <v>4109</v>
      </c>
      <c r="G172">
        <f>G127</f>
        <v>998</v>
      </c>
      <c r="H172" s="10">
        <f t="shared" si="5"/>
        <v>57425</v>
      </c>
      <c r="I172">
        <f>H127</f>
        <v>9270</v>
      </c>
      <c r="J172">
        <f>I127</f>
        <v>4092</v>
      </c>
      <c r="K172">
        <f>J127</f>
        <v>1698</v>
      </c>
      <c r="L172">
        <f>K127</f>
        <v>1400</v>
      </c>
      <c r="M172" s="10">
        <f t="shared" si="6"/>
        <v>40965</v>
      </c>
      <c r="N172">
        <f>L127</f>
        <v>2158</v>
      </c>
      <c r="O172">
        <f>M127</f>
        <v>1552</v>
      </c>
      <c r="P172">
        <f>N127</f>
        <v>958</v>
      </c>
      <c r="Q172">
        <f>O127</f>
        <v>5608</v>
      </c>
      <c r="R172">
        <f>P127</f>
        <v>2257</v>
      </c>
      <c r="S172">
        <f>Q127</f>
        <v>10814</v>
      </c>
      <c r="T172">
        <f>R127</f>
        <v>409</v>
      </c>
      <c r="U172">
        <f>S127</f>
        <v>4106</v>
      </c>
      <c r="V172">
        <f>T127</f>
        <v>3632</v>
      </c>
      <c r="W172">
        <f>U127</f>
        <v>2631</v>
      </c>
      <c r="X172">
        <f>V127</f>
        <v>5662</v>
      </c>
      <c r="Y172" s="10">
        <f t="shared" si="7"/>
        <v>39787</v>
      </c>
      <c r="Z172">
        <f>O239-Y172</f>
        <v>1565</v>
      </c>
      <c r="AA172" s="10">
        <f t="shared" si="8"/>
        <v>-387</v>
      </c>
    </row>
    <row r="173" spans="1:40" x14ac:dyDescent="0.3">
      <c r="A173" s="1">
        <f t="shared" ref="A173:F173" si="14">A128</f>
        <v>43190</v>
      </c>
      <c r="B173">
        <f t="shared" si="14"/>
        <v>31376</v>
      </c>
      <c r="C173">
        <f t="shared" si="14"/>
        <v>12120</v>
      </c>
      <c r="D173">
        <f t="shared" si="14"/>
        <v>8161</v>
      </c>
      <c r="E173">
        <f t="shared" si="14"/>
        <v>1258</v>
      </c>
      <c r="F173">
        <f t="shared" si="14"/>
        <v>4161</v>
      </c>
      <c r="G173">
        <f>G128</f>
        <v>960</v>
      </c>
      <c r="H173" s="10">
        <f t="shared" si="5"/>
        <v>58036</v>
      </c>
      <c r="I173">
        <f>H128</f>
        <v>9603</v>
      </c>
      <c r="J173">
        <f>I128</f>
        <v>4220</v>
      </c>
      <c r="K173">
        <f>J128</f>
        <v>1705</v>
      </c>
      <c r="L173">
        <f>K128</f>
        <v>1433</v>
      </c>
      <c r="M173" s="10">
        <f t="shared" si="6"/>
        <v>41075</v>
      </c>
      <c r="N173">
        <f>L128</f>
        <v>2143</v>
      </c>
      <c r="O173">
        <f>M128</f>
        <v>1500</v>
      </c>
      <c r="P173">
        <f>N128</f>
        <v>965</v>
      </c>
      <c r="Q173">
        <f>O128</f>
        <v>5579</v>
      </c>
      <c r="R173">
        <f>P128</f>
        <v>2301</v>
      </c>
      <c r="S173">
        <f>Q128</f>
        <v>10955</v>
      </c>
      <c r="T173">
        <f>R128</f>
        <v>429</v>
      </c>
      <c r="U173">
        <f>S128</f>
        <v>4160</v>
      </c>
      <c r="V173">
        <f>T128</f>
        <v>3682</v>
      </c>
      <c r="W173">
        <f>U128</f>
        <v>2640</v>
      </c>
      <c r="X173">
        <f>V128</f>
        <v>5825</v>
      </c>
      <c r="Y173" s="10">
        <f t="shared" si="7"/>
        <v>40179</v>
      </c>
      <c r="Z173">
        <f>O240-Y173</f>
        <v>1579</v>
      </c>
      <c r="AA173" s="10">
        <f t="shared" si="8"/>
        <v>-683</v>
      </c>
    </row>
    <row r="174" spans="1:40" x14ac:dyDescent="0.3">
      <c r="A174" s="1">
        <f t="shared" ref="A174:F174" si="15">A129</f>
        <v>43281</v>
      </c>
      <c r="B174">
        <f t="shared" si="15"/>
        <v>31806</v>
      </c>
      <c r="C174">
        <f t="shared" si="15"/>
        <v>12355</v>
      </c>
      <c r="D174">
        <f t="shared" si="15"/>
        <v>8073</v>
      </c>
      <c r="E174">
        <f t="shared" si="15"/>
        <v>1202</v>
      </c>
      <c r="F174">
        <f t="shared" si="15"/>
        <v>4273</v>
      </c>
      <c r="G174">
        <f>G129</f>
        <v>1078</v>
      </c>
      <c r="H174" s="10">
        <f t="shared" si="5"/>
        <v>58787</v>
      </c>
      <c r="I174">
        <f>H129</f>
        <v>9326</v>
      </c>
      <c r="J174">
        <f>I129</f>
        <v>4178</v>
      </c>
      <c r="K174">
        <f>J129</f>
        <v>1730</v>
      </c>
      <c r="L174">
        <f>K129</f>
        <v>1435</v>
      </c>
      <c r="M174" s="10">
        <f t="shared" si="6"/>
        <v>42118</v>
      </c>
      <c r="N174">
        <f>L129</f>
        <v>2152</v>
      </c>
      <c r="O174">
        <f>M129</f>
        <v>1564</v>
      </c>
      <c r="P174">
        <f>N129</f>
        <v>969</v>
      </c>
      <c r="Q174">
        <f>O129</f>
        <v>5650</v>
      </c>
      <c r="R174">
        <f>P129</f>
        <v>2343</v>
      </c>
      <c r="S174">
        <f>Q129</f>
        <v>11166</v>
      </c>
      <c r="T174">
        <f>R129</f>
        <v>440</v>
      </c>
      <c r="U174">
        <f>S129</f>
        <v>4261</v>
      </c>
      <c r="V174">
        <f>T129</f>
        <v>3740</v>
      </c>
      <c r="W174">
        <f>U129</f>
        <v>2659</v>
      </c>
      <c r="X174">
        <f>V129</f>
        <v>5972</v>
      </c>
      <c r="Y174" s="10">
        <f t="shared" si="7"/>
        <v>40916</v>
      </c>
      <c r="Z174">
        <f>O241-Y174</f>
        <v>1639</v>
      </c>
      <c r="AA174" s="10">
        <f t="shared" si="8"/>
        <v>-437</v>
      </c>
    </row>
    <row r="175" spans="1:40" x14ac:dyDescent="0.3">
      <c r="A175" s="1">
        <f t="shared" ref="A175:F175" si="16">A130</f>
        <v>43373</v>
      </c>
      <c r="B175">
        <f t="shared" si="16"/>
        <v>32195</v>
      </c>
      <c r="C175">
        <f t="shared" si="16"/>
        <v>12349</v>
      </c>
      <c r="D175">
        <f t="shared" si="16"/>
        <v>8588</v>
      </c>
      <c r="E175">
        <f t="shared" si="16"/>
        <v>1305</v>
      </c>
      <c r="F175">
        <f t="shared" si="16"/>
        <v>4325</v>
      </c>
      <c r="G175">
        <f>G130</f>
        <v>1094</v>
      </c>
      <c r="H175" s="10">
        <f t="shared" si="5"/>
        <v>59856</v>
      </c>
      <c r="I175">
        <f>H130</f>
        <v>9896</v>
      </c>
      <c r="J175">
        <f>I130</f>
        <v>4139</v>
      </c>
      <c r="K175">
        <f>J130</f>
        <v>1765</v>
      </c>
      <c r="L175">
        <f>K130</f>
        <v>1464</v>
      </c>
      <c r="M175" s="10">
        <f t="shared" si="6"/>
        <v>42592</v>
      </c>
      <c r="N175">
        <f>L130</f>
        <v>2174</v>
      </c>
      <c r="O175">
        <f>M130</f>
        <v>1620</v>
      </c>
      <c r="P175">
        <f>N130</f>
        <v>958</v>
      </c>
      <c r="Q175">
        <f>O130</f>
        <v>5658</v>
      </c>
      <c r="R175">
        <f>P130</f>
        <v>2383</v>
      </c>
      <c r="S175">
        <f>Q130</f>
        <v>11312</v>
      </c>
      <c r="T175">
        <f>R130</f>
        <v>451</v>
      </c>
      <c r="U175">
        <f>S130</f>
        <v>4355</v>
      </c>
      <c r="V175">
        <f>T130</f>
        <v>3859</v>
      </c>
      <c r="W175">
        <f>U130</f>
        <v>2734</v>
      </c>
      <c r="X175">
        <f>V130</f>
        <v>6133</v>
      </c>
      <c r="Y175" s="10">
        <f t="shared" si="7"/>
        <v>41637</v>
      </c>
      <c r="Z175">
        <f>O242-Y175</f>
        <v>1683</v>
      </c>
      <c r="AA175" s="10">
        <f t="shared" si="8"/>
        <v>-728</v>
      </c>
    </row>
    <row r="176" spans="1:40" x14ac:dyDescent="0.3">
      <c r="A176" s="1">
        <f t="shared" ref="A176:F176" si="17">A131</f>
        <v>43465</v>
      </c>
      <c r="B176">
        <f t="shared" si="17"/>
        <v>33157</v>
      </c>
      <c r="C176">
        <f t="shared" si="17"/>
        <v>12582</v>
      </c>
      <c r="D176">
        <f t="shared" si="17"/>
        <v>8601</v>
      </c>
      <c r="E176">
        <f t="shared" si="17"/>
        <v>1192</v>
      </c>
      <c r="F176">
        <f t="shared" si="17"/>
        <v>4414</v>
      </c>
      <c r="G176">
        <f>G131</f>
        <v>1230</v>
      </c>
      <c r="H176" s="10">
        <f t="shared" si="5"/>
        <v>61176</v>
      </c>
      <c r="I176">
        <f>H131</f>
        <v>9985</v>
      </c>
      <c r="J176">
        <f>I131</f>
        <v>4256</v>
      </c>
      <c r="K176">
        <f>J131</f>
        <v>1787</v>
      </c>
      <c r="L176">
        <f>K131</f>
        <v>1494</v>
      </c>
      <c r="M176" s="10">
        <f t="shared" si="6"/>
        <v>43654</v>
      </c>
      <c r="N176">
        <f>L131</f>
        <v>2241</v>
      </c>
      <c r="O176">
        <f>M131</f>
        <v>1646</v>
      </c>
      <c r="P176">
        <f>N131</f>
        <v>950</v>
      </c>
      <c r="Q176">
        <f>O131</f>
        <v>5741</v>
      </c>
      <c r="R176">
        <f>P131</f>
        <v>2409</v>
      </c>
      <c r="S176">
        <f>Q131</f>
        <v>11441</v>
      </c>
      <c r="T176">
        <f>R131</f>
        <v>470</v>
      </c>
      <c r="U176">
        <f>S131</f>
        <v>4454</v>
      </c>
      <c r="V176">
        <f>T131</f>
        <v>3895</v>
      </c>
      <c r="W176">
        <f>U131</f>
        <v>2818</v>
      </c>
      <c r="X176">
        <f>V131</f>
        <v>6154</v>
      </c>
      <c r="Y176" s="10">
        <f t="shared" si="7"/>
        <v>42219</v>
      </c>
      <c r="Z176">
        <f>O243-Y176</f>
        <v>1729</v>
      </c>
      <c r="AA176" s="10">
        <f t="shared" si="8"/>
        <v>-294</v>
      </c>
    </row>
    <row r="177" spans="1:27" x14ac:dyDescent="0.3">
      <c r="A177" s="1">
        <f t="shared" ref="A177:F177" si="18">A132</f>
        <v>43555</v>
      </c>
      <c r="B177">
        <f t="shared" si="18"/>
        <v>33072</v>
      </c>
      <c r="C177">
        <f t="shared" si="18"/>
        <v>12732</v>
      </c>
      <c r="D177">
        <f t="shared" si="18"/>
        <v>8719</v>
      </c>
      <c r="E177">
        <f t="shared" si="18"/>
        <v>1174</v>
      </c>
      <c r="F177">
        <f t="shared" si="18"/>
        <v>4426</v>
      </c>
      <c r="G177">
        <f>G132</f>
        <v>1149</v>
      </c>
      <c r="H177" s="10">
        <f t="shared" si="5"/>
        <v>61272</v>
      </c>
      <c r="I177">
        <f>H132</f>
        <v>10333</v>
      </c>
      <c r="J177">
        <f>I132</f>
        <v>4274</v>
      </c>
      <c r="K177">
        <f>J132</f>
        <v>1772</v>
      </c>
      <c r="L177">
        <f>K132</f>
        <v>1522</v>
      </c>
      <c r="M177" s="10">
        <f t="shared" si="6"/>
        <v>43371</v>
      </c>
      <c r="N177">
        <f>L132</f>
        <v>2265</v>
      </c>
      <c r="O177">
        <f>M132</f>
        <v>1623</v>
      </c>
      <c r="P177">
        <f>N132</f>
        <v>943</v>
      </c>
      <c r="Q177">
        <f>O132</f>
        <v>5711</v>
      </c>
      <c r="R177">
        <f>P132</f>
        <v>2426</v>
      </c>
      <c r="S177">
        <f>Q132</f>
        <v>11646</v>
      </c>
      <c r="T177">
        <f>R132</f>
        <v>494</v>
      </c>
      <c r="U177">
        <f>S132</f>
        <v>4583</v>
      </c>
      <c r="V177">
        <f>T132</f>
        <v>3813</v>
      </c>
      <c r="W177">
        <f>U132</f>
        <v>2778</v>
      </c>
      <c r="X177">
        <f>V132</f>
        <v>5996</v>
      </c>
      <c r="Y177" s="10">
        <f t="shared" si="7"/>
        <v>42278</v>
      </c>
      <c r="Z177">
        <f>O244-Y177</f>
        <v>1749</v>
      </c>
      <c r="AA177" s="10">
        <f t="shared" si="8"/>
        <v>-656</v>
      </c>
    </row>
    <row r="178" spans="1:27" x14ac:dyDescent="0.3">
      <c r="A178" s="1">
        <f t="shared" ref="A178:F178" si="19">A133</f>
        <v>43646</v>
      </c>
      <c r="B178">
        <f t="shared" si="19"/>
        <v>33900</v>
      </c>
      <c r="C178">
        <f t="shared" si="19"/>
        <v>13318</v>
      </c>
      <c r="D178">
        <f t="shared" si="19"/>
        <v>9030</v>
      </c>
      <c r="E178">
        <f t="shared" si="19"/>
        <v>1216</v>
      </c>
      <c r="F178">
        <f t="shared" si="19"/>
        <v>4577</v>
      </c>
      <c r="G178">
        <f>G133</f>
        <v>1268</v>
      </c>
      <c r="H178" s="10">
        <f t="shared" si="5"/>
        <v>63309</v>
      </c>
      <c r="I178">
        <f>H133</f>
        <v>10392</v>
      </c>
      <c r="J178">
        <f>I133</f>
        <v>4477</v>
      </c>
      <c r="K178">
        <f>J133</f>
        <v>1744</v>
      </c>
      <c r="L178">
        <f>K133</f>
        <v>1523</v>
      </c>
      <c r="M178" s="10">
        <f t="shared" si="6"/>
        <v>45173</v>
      </c>
      <c r="N178">
        <f>L133</f>
        <v>2335</v>
      </c>
      <c r="O178">
        <f>M133</f>
        <v>1668</v>
      </c>
      <c r="P178">
        <f>N133</f>
        <v>958</v>
      </c>
      <c r="Q178">
        <f>O133</f>
        <v>5697</v>
      </c>
      <c r="R178">
        <f>P133</f>
        <v>2453</v>
      </c>
      <c r="S178">
        <f>Q133</f>
        <v>11855</v>
      </c>
      <c r="T178">
        <f>R133</f>
        <v>533</v>
      </c>
      <c r="U178">
        <f>S133</f>
        <v>4649</v>
      </c>
      <c r="V178">
        <f>T133</f>
        <v>3983</v>
      </c>
      <c r="W178">
        <f>U133</f>
        <v>2827</v>
      </c>
      <c r="X178">
        <f>V133</f>
        <v>6012</v>
      </c>
      <c r="Y178" s="10">
        <f t="shared" si="7"/>
        <v>42970</v>
      </c>
      <c r="Z178">
        <f>O245-Y178</f>
        <v>1753</v>
      </c>
      <c r="AA178" s="10">
        <f t="shared" si="8"/>
        <v>450</v>
      </c>
    </row>
    <row r="179" spans="1:27" x14ac:dyDescent="0.3">
      <c r="A179" s="1">
        <f t="shared" ref="A179:F179" si="20">A134</f>
        <v>43738</v>
      </c>
      <c r="B179">
        <f t="shared" si="20"/>
        <v>34491</v>
      </c>
      <c r="C179">
        <f t="shared" si="20"/>
        <v>13598</v>
      </c>
      <c r="D179">
        <f t="shared" si="20"/>
        <v>9166</v>
      </c>
      <c r="E179">
        <f t="shared" si="20"/>
        <v>1227</v>
      </c>
      <c r="F179">
        <f t="shared" si="20"/>
        <v>4522</v>
      </c>
      <c r="G179">
        <f>G134</f>
        <v>1287</v>
      </c>
      <c r="H179" s="10">
        <f t="shared" si="5"/>
        <v>64291</v>
      </c>
      <c r="I179">
        <f>H134</f>
        <v>10341</v>
      </c>
      <c r="J179">
        <f>I134</f>
        <v>4609</v>
      </c>
      <c r="K179">
        <f>J134</f>
        <v>1667</v>
      </c>
      <c r="L179">
        <f>K134</f>
        <v>1550</v>
      </c>
      <c r="M179" s="10">
        <f t="shared" si="6"/>
        <v>46124</v>
      </c>
      <c r="N179">
        <f>L134</f>
        <v>2402</v>
      </c>
      <c r="O179">
        <f>M134</f>
        <v>1703</v>
      </c>
      <c r="P179">
        <f>N134</f>
        <v>974</v>
      </c>
      <c r="Q179">
        <f>O134</f>
        <v>5723</v>
      </c>
      <c r="R179">
        <f>P134</f>
        <v>2524</v>
      </c>
      <c r="S179">
        <f>Q134</f>
        <v>12040</v>
      </c>
      <c r="T179">
        <f>R134</f>
        <v>581</v>
      </c>
      <c r="U179">
        <f>S134</f>
        <v>4730</v>
      </c>
      <c r="V179">
        <f>T134</f>
        <v>4045</v>
      </c>
      <c r="W179">
        <f>U134</f>
        <v>2864</v>
      </c>
      <c r="X179">
        <f>V134</f>
        <v>5995</v>
      </c>
      <c r="Y179" s="10">
        <f t="shared" si="7"/>
        <v>43581</v>
      </c>
      <c r="Z179">
        <f>O246-Y179</f>
        <v>1753</v>
      </c>
      <c r="AA179" s="10">
        <f t="shared" si="8"/>
        <v>790</v>
      </c>
    </row>
    <row r="180" spans="1:27" x14ac:dyDescent="0.3">
      <c r="A180" s="1">
        <f t="shared" ref="A180:F180" si="21">A135</f>
        <v>43830</v>
      </c>
      <c r="B180">
        <f t="shared" si="21"/>
        <v>35050</v>
      </c>
      <c r="C180">
        <f t="shared" si="21"/>
        <v>13973</v>
      </c>
      <c r="D180">
        <f t="shared" si="21"/>
        <v>9211</v>
      </c>
      <c r="E180">
        <f t="shared" si="21"/>
        <v>1321</v>
      </c>
      <c r="F180">
        <f t="shared" si="21"/>
        <v>4327</v>
      </c>
      <c r="G180">
        <f>G135</f>
        <v>1435</v>
      </c>
      <c r="H180" s="10">
        <f t="shared" si="5"/>
        <v>65317</v>
      </c>
      <c r="I180">
        <f>H135</f>
        <v>10849</v>
      </c>
      <c r="J180">
        <f>I135</f>
        <v>4745</v>
      </c>
      <c r="K180">
        <f>J135</f>
        <v>1596</v>
      </c>
      <c r="L180">
        <f>K135</f>
        <v>1584</v>
      </c>
      <c r="M180" s="10">
        <f t="shared" si="6"/>
        <v>46543</v>
      </c>
      <c r="N180">
        <f>L135</f>
        <v>2461</v>
      </c>
      <c r="O180">
        <f>M135</f>
        <v>1723</v>
      </c>
      <c r="P180">
        <f>N135</f>
        <v>973</v>
      </c>
      <c r="Q180">
        <f>O135</f>
        <v>5770</v>
      </c>
      <c r="R180">
        <f>P135</f>
        <v>2554</v>
      </c>
      <c r="S180">
        <f>Q135</f>
        <v>12173</v>
      </c>
      <c r="T180">
        <f>R135</f>
        <v>560</v>
      </c>
      <c r="U180">
        <f>S135</f>
        <v>4734</v>
      </c>
      <c r="V180">
        <f>T135</f>
        <v>4124</v>
      </c>
      <c r="W180">
        <f>U135</f>
        <v>2914</v>
      </c>
      <c r="X180">
        <f>V135</f>
        <v>6002</v>
      </c>
      <c r="Y180" s="10">
        <f t="shared" si="7"/>
        <v>43988</v>
      </c>
      <c r="Z180">
        <f>O247-Y180</f>
        <v>1752</v>
      </c>
      <c r="AA180" s="10">
        <f t="shared" si="8"/>
        <v>803</v>
      </c>
    </row>
    <row r="181" spans="1:27" x14ac:dyDescent="0.3">
      <c r="A181" s="1">
        <f t="shared" ref="A181:F181" si="22">A136</f>
        <v>43921</v>
      </c>
      <c r="B181">
        <f t="shared" si="22"/>
        <v>35615</v>
      </c>
      <c r="C181">
        <f t="shared" si="22"/>
        <v>13764</v>
      </c>
      <c r="D181">
        <f t="shared" si="22"/>
        <v>9473</v>
      </c>
      <c r="E181">
        <f t="shared" si="22"/>
        <v>1271</v>
      </c>
      <c r="F181">
        <f t="shared" si="22"/>
        <v>3782</v>
      </c>
      <c r="G181">
        <f>G136</f>
        <v>1448</v>
      </c>
      <c r="H181" s="10">
        <f t="shared" si="5"/>
        <v>65353</v>
      </c>
      <c r="I181">
        <f>H136</f>
        <v>10796</v>
      </c>
      <c r="J181">
        <f>I136</f>
        <v>4839</v>
      </c>
      <c r="K181">
        <f>J136</f>
        <v>1566</v>
      </c>
      <c r="L181">
        <f>K136</f>
        <v>1616</v>
      </c>
      <c r="M181" s="10">
        <f t="shared" si="6"/>
        <v>46536</v>
      </c>
      <c r="N181">
        <f>L136</f>
        <v>2535</v>
      </c>
      <c r="O181">
        <f>M136</f>
        <v>1575</v>
      </c>
      <c r="P181">
        <f>N136</f>
        <v>957</v>
      </c>
      <c r="Q181">
        <f>O136</f>
        <v>6317</v>
      </c>
      <c r="R181">
        <f>P136</f>
        <v>2524</v>
      </c>
      <c r="S181">
        <f>Q136</f>
        <v>12283</v>
      </c>
      <c r="T181">
        <f>R136</f>
        <v>532</v>
      </c>
      <c r="U181">
        <f>S136</f>
        <v>4752</v>
      </c>
      <c r="V181">
        <f>T136</f>
        <v>4060</v>
      </c>
      <c r="W181">
        <f>U136</f>
        <v>2611</v>
      </c>
      <c r="X181">
        <f>V136</f>
        <v>5645</v>
      </c>
      <c r="Y181" s="10">
        <f t="shared" si="7"/>
        <v>43791</v>
      </c>
      <c r="Z181">
        <f>O248-Y181</f>
        <v>1750</v>
      </c>
      <c r="AA181" s="10">
        <f t="shared" si="8"/>
        <v>995</v>
      </c>
    </row>
    <row r="182" spans="1:27" x14ac:dyDescent="0.3">
      <c r="A182" s="1">
        <f t="shared" ref="A182:F182" si="23">A137</f>
        <v>44012</v>
      </c>
      <c r="B182">
        <f t="shared" si="23"/>
        <v>34360</v>
      </c>
      <c r="C182">
        <f t="shared" si="23"/>
        <v>14427</v>
      </c>
      <c r="D182">
        <f t="shared" si="23"/>
        <v>10188</v>
      </c>
      <c r="E182">
        <f t="shared" si="23"/>
        <v>1180</v>
      </c>
      <c r="F182">
        <f t="shared" si="23"/>
        <v>4268</v>
      </c>
      <c r="G182">
        <f>G137</f>
        <v>1492</v>
      </c>
      <c r="H182" s="10">
        <f t="shared" si="5"/>
        <v>65915</v>
      </c>
      <c r="I182">
        <f>H137</f>
        <v>10245</v>
      </c>
      <c r="J182">
        <f>I137</f>
        <v>4816</v>
      </c>
      <c r="K182">
        <f>J137</f>
        <v>1464</v>
      </c>
      <c r="L182">
        <f>K137</f>
        <v>1644</v>
      </c>
      <c r="M182" s="10">
        <f t="shared" si="6"/>
        <v>47746</v>
      </c>
      <c r="N182">
        <f>L137</f>
        <v>2018</v>
      </c>
      <c r="O182">
        <f>M137</f>
        <v>1334</v>
      </c>
      <c r="P182">
        <f>N137</f>
        <v>966</v>
      </c>
      <c r="Q182">
        <f>O137</f>
        <v>6123</v>
      </c>
      <c r="R182">
        <f>P137</f>
        <v>2241</v>
      </c>
      <c r="S182">
        <f>Q137</f>
        <v>12309</v>
      </c>
      <c r="T182">
        <f>R137</f>
        <v>518</v>
      </c>
      <c r="U182">
        <f>S137</f>
        <v>4381</v>
      </c>
      <c r="V182">
        <f>T137</f>
        <v>3527</v>
      </c>
      <c r="W182">
        <f>U137</f>
        <v>1963</v>
      </c>
      <c r="X182">
        <f>V137</f>
        <v>3381</v>
      </c>
      <c r="Y182" s="10">
        <f t="shared" si="7"/>
        <v>38761</v>
      </c>
      <c r="Z182">
        <f>O249-Y182</f>
        <v>1649</v>
      </c>
      <c r="AA182" s="10">
        <f t="shared" si="8"/>
        <v>7336</v>
      </c>
    </row>
    <row r="183" spans="1:27" x14ac:dyDescent="0.3">
      <c r="A183" s="1">
        <f t="shared" ref="A183:F183" si="24">A138</f>
        <v>44104</v>
      </c>
      <c r="B183">
        <f t="shared" si="24"/>
        <v>35818</v>
      </c>
      <c r="C183">
        <f t="shared" si="24"/>
        <v>14901</v>
      </c>
      <c r="D183">
        <f t="shared" si="24"/>
        <v>10346</v>
      </c>
      <c r="E183">
        <f t="shared" si="24"/>
        <v>1539</v>
      </c>
      <c r="F183">
        <f t="shared" si="24"/>
        <v>4660</v>
      </c>
      <c r="G183">
        <f>G138</f>
        <v>1606</v>
      </c>
      <c r="H183" s="10">
        <f t="shared" si="5"/>
        <v>68870</v>
      </c>
      <c r="I183">
        <f>H138</f>
        <v>11396</v>
      </c>
      <c r="J183">
        <f>I138</f>
        <v>5014</v>
      </c>
      <c r="K183">
        <f>J138</f>
        <v>1368</v>
      </c>
      <c r="L183">
        <f>K138</f>
        <v>1661</v>
      </c>
      <c r="M183" s="10">
        <f t="shared" si="6"/>
        <v>49431</v>
      </c>
      <c r="N183">
        <f>L138</f>
        <v>2489</v>
      </c>
      <c r="O183">
        <f>M138</f>
        <v>1826</v>
      </c>
      <c r="P183">
        <f>N138</f>
        <v>973</v>
      </c>
      <c r="Q183">
        <f>O138</f>
        <v>6204</v>
      </c>
      <c r="R183">
        <f>P138</f>
        <v>2931</v>
      </c>
      <c r="S183">
        <f>Q138</f>
        <v>12583</v>
      </c>
      <c r="T183">
        <f>R138</f>
        <v>507</v>
      </c>
      <c r="U183">
        <f>S138</f>
        <v>4766</v>
      </c>
      <c r="V183">
        <f>T138</f>
        <v>4256</v>
      </c>
      <c r="W183">
        <f>U138</f>
        <v>2990</v>
      </c>
      <c r="X183">
        <f>V138</f>
        <v>4836</v>
      </c>
      <c r="Y183" s="10">
        <f t="shared" si="7"/>
        <v>44361</v>
      </c>
      <c r="Z183">
        <f>O250-Y183</f>
        <v>1877</v>
      </c>
      <c r="AA183" s="10">
        <f t="shared" si="8"/>
        <v>3193</v>
      </c>
    </row>
    <row r="184" spans="1:27" x14ac:dyDescent="0.3">
      <c r="A184" s="1">
        <f t="shared" ref="A184:F184" si="25">A139</f>
        <v>44196</v>
      </c>
      <c r="B184">
        <f t="shared" si="25"/>
        <v>36508</v>
      </c>
      <c r="C184">
        <f t="shared" si="25"/>
        <v>15096</v>
      </c>
      <c r="D184">
        <f t="shared" si="25"/>
        <v>10284</v>
      </c>
      <c r="E184">
        <f t="shared" si="25"/>
        <v>1382</v>
      </c>
      <c r="F184">
        <f t="shared" si="25"/>
        <v>5104</v>
      </c>
      <c r="G184">
        <f>G139</f>
        <v>1733</v>
      </c>
      <c r="H184" s="10">
        <f t="shared" si="5"/>
        <v>70107</v>
      </c>
      <c r="I184">
        <f>H139</f>
        <v>11480</v>
      </c>
      <c r="J184">
        <f>I139</f>
        <v>5101</v>
      </c>
      <c r="K184">
        <f>J139</f>
        <v>1293</v>
      </c>
      <c r="L184">
        <f>K139</f>
        <v>1669</v>
      </c>
      <c r="M184" s="10">
        <f t="shared" si="6"/>
        <v>50564</v>
      </c>
      <c r="N184">
        <f>L139</f>
        <v>2416</v>
      </c>
      <c r="O184">
        <f>M139</f>
        <v>1909</v>
      </c>
      <c r="P184">
        <f>N139</f>
        <v>980</v>
      </c>
      <c r="Q184">
        <f>O139</f>
        <v>6063</v>
      </c>
      <c r="R184">
        <f>P139</f>
        <v>2987</v>
      </c>
      <c r="S184">
        <f>Q139</f>
        <v>12797</v>
      </c>
      <c r="T184">
        <f>R139</f>
        <v>483</v>
      </c>
      <c r="U184">
        <f>S139</f>
        <v>4922</v>
      </c>
      <c r="V184">
        <f>T139</f>
        <v>4419</v>
      </c>
      <c r="W184">
        <f>U139</f>
        <v>3397</v>
      </c>
      <c r="X184">
        <f>V139</f>
        <v>4963</v>
      </c>
      <c r="Y184" s="10">
        <f t="shared" si="7"/>
        <v>45336</v>
      </c>
      <c r="Z184">
        <f>O251-Y184</f>
        <v>1929</v>
      </c>
      <c r="AA184" s="10">
        <f t="shared" si="8"/>
        <v>3299</v>
      </c>
    </row>
    <row r="185" spans="1:27" x14ac:dyDescent="0.3">
      <c r="A185" s="1">
        <f t="shared" ref="A185:F185" si="26">A140</f>
        <v>44286</v>
      </c>
      <c r="B185">
        <f t="shared" si="26"/>
        <v>37412</v>
      </c>
      <c r="C185">
        <f t="shared" si="26"/>
        <v>15573</v>
      </c>
      <c r="D185">
        <f t="shared" si="26"/>
        <v>10476</v>
      </c>
      <c r="E185">
        <f t="shared" si="26"/>
        <v>1493</v>
      </c>
      <c r="F185">
        <f t="shared" si="26"/>
        <v>4564</v>
      </c>
      <c r="G185">
        <f>G140</f>
        <v>1673</v>
      </c>
      <c r="H185" s="10">
        <f t="shared" si="5"/>
        <v>71191</v>
      </c>
      <c r="I185">
        <f>H140</f>
        <v>11985</v>
      </c>
      <c r="J185">
        <f>I140</f>
        <v>5123</v>
      </c>
      <c r="K185">
        <f>J140</f>
        <v>1222</v>
      </c>
      <c r="L185">
        <f>K140</f>
        <v>1681</v>
      </c>
      <c r="M185" s="10">
        <f t="shared" si="6"/>
        <v>51180</v>
      </c>
      <c r="N185">
        <f>L140</f>
        <v>2408</v>
      </c>
      <c r="O185">
        <f>M140</f>
        <v>1994</v>
      </c>
      <c r="P185">
        <f>N140</f>
        <v>1021</v>
      </c>
      <c r="Q185">
        <f>O140</f>
        <v>6153</v>
      </c>
      <c r="R185">
        <f>P140</f>
        <v>3082</v>
      </c>
      <c r="S185">
        <f>Q140</f>
        <v>13042</v>
      </c>
      <c r="T185">
        <f>R140</f>
        <v>515</v>
      </c>
      <c r="U185">
        <f>S140</f>
        <v>5053</v>
      </c>
      <c r="V185">
        <f>T140</f>
        <v>4872</v>
      </c>
      <c r="W185">
        <f>U140</f>
        <v>4289</v>
      </c>
      <c r="X185">
        <f>V140</f>
        <v>5373</v>
      </c>
      <c r="Y185" s="10">
        <f t="shared" si="7"/>
        <v>47802</v>
      </c>
      <c r="Z185">
        <f>O252-Y185</f>
        <v>2068</v>
      </c>
      <c r="AA185" s="10">
        <f t="shared" si="8"/>
        <v>1310</v>
      </c>
    </row>
    <row r="186" spans="1:27" x14ac:dyDescent="0.3">
      <c r="A186" s="1">
        <f t="shared" ref="A186:F186" si="27">A141</f>
        <v>44377</v>
      </c>
      <c r="B186">
        <f t="shared" si="27"/>
        <v>38344</v>
      </c>
      <c r="C186">
        <f t="shared" si="27"/>
        <v>15921</v>
      </c>
      <c r="D186">
        <f t="shared" si="27"/>
        <v>10722</v>
      </c>
      <c r="E186">
        <f t="shared" si="27"/>
        <v>1478</v>
      </c>
      <c r="F186">
        <f t="shared" si="27"/>
        <v>3809</v>
      </c>
      <c r="G186">
        <f>G141</f>
        <v>1755</v>
      </c>
      <c r="H186" s="10">
        <f t="shared" si="5"/>
        <v>72029</v>
      </c>
      <c r="I186">
        <f>H141</f>
        <v>12613</v>
      </c>
      <c r="J186">
        <f>I141</f>
        <v>5223</v>
      </c>
      <c r="K186">
        <f>J141</f>
        <v>1181</v>
      </c>
      <c r="L186">
        <f>K141</f>
        <v>1810</v>
      </c>
      <c r="M186" s="10">
        <f t="shared" si="6"/>
        <v>51202</v>
      </c>
      <c r="N186">
        <f>L141</f>
        <v>2457</v>
      </c>
      <c r="O186">
        <f>M141</f>
        <v>2036</v>
      </c>
      <c r="P186">
        <f>N141</f>
        <v>987</v>
      </c>
      <c r="Q186">
        <f>O141</f>
        <v>6285</v>
      </c>
      <c r="R186">
        <f>P141</f>
        <v>3205</v>
      </c>
      <c r="S186">
        <f>Q141</f>
        <v>13121</v>
      </c>
      <c r="T186">
        <f>R141</f>
        <v>521</v>
      </c>
      <c r="U186">
        <f>S141</f>
        <v>5200</v>
      </c>
      <c r="V186">
        <f>T141</f>
        <v>4858</v>
      </c>
      <c r="W186">
        <f>U141</f>
        <v>3823</v>
      </c>
      <c r="X186">
        <f>V141</f>
        <v>5903</v>
      </c>
      <c r="Y186" s="10">
        <f t="shared" si="7"/>
        <v>48396</v>
      </c>
      <c r="Z186">
        <f>O253-Y186</f>
        <v>2147</v>
      </c>
      <c r="AA186" s="10">
        <f t="shared" si="8"/>
        <v>659</v>
      </c>
    </row>
    <row r="187" spans="1:27" x14ac:dyDescent="0.3">
      <c r="A187" s="1">
        <f t="shared" ref="A187:F187" si="28">A142</f>
        <v>44469</v>
      </c>
      <c r="B187">
        <f t="shared" si="28"/>
        <v>38925</v>
      </c>
      <c r="C187">
        <f t="shared" si="28"/>
        <v>16464</v>
      </c>
      <c r="D187">
        <f t="shared" si="28"/>
        <v>10632</v>
      </c>
      <c r="E187">
        <f t="shared" si="28"/>
        <v>1341</v>
      </c>
      <c r="F187">
        <f t="shared" si="28"/>
        <v>3542</v>
      </c>
      <c r="G187">
        <f>G142</f>
        <v>1641</v>
      </c>
      <c r="H187" s="10">
        <f t="shared" si="5"/>
        <v>72545</v>
      </c>
      <c r="I187">
        <f>H142</f>
        <v>12512</v>
      </c>
      <c r="J187">
        <f>I142</f>
        <v>5280</v>
      </c>
      <c r="K187">
        <f>J142</f>
        <v>1134</v>
      </c>
      <c r="L187">
        <f>K142</f>
        <v>1873</v>
      </c>
      <c r="M187" s="10">
        <f t="shared" si="6"/>
        <v>51746</v>
      </c>
      <c r="N187">
        <f>L142</f>
        <v>2324</v>
      </c>
      <c r="O187">
        <f>M142</f>
        <v>1701</v>
      </c>
      <c r="P187">
        <f>N142</f>
        <v>976</v>
      </c>
      <c r="Q187">
        <f>O142</f>
        <v>6676</v>
      </c>
      <c r="R187">
        <f>P142</f>
        <v>2749</v>
      </c>
      <c r="S187">
        <f>Q142</f>
        <v>13378</v>
      </c>
      <c r="T187">
        <f>R142</f>
        <v>582</v>
      </c>
      <c r="U187">
        <f>S142</f>
        <v>5009</v>
      </c>
      <c r="V187">
        <f>T142</f>
        <v>4278</v>
      </c>
      <c r="W187">
        <f>U142</f>
        <v>2893</v>
      </c>
      <c r="X187">
        <f>V142</f>
        <v>4944</v>
      </c>
      <c r="Y187" s="10">
        <f t="shared" si="7"/>
        <v>45510</v>
      </c>
      <c r="Z187">
        <f>O254-Y187</f>
        <v>2151</v>
      </c>
      <c r="AA187" s="10">
        <f t="shared" si="8"/>
        <v>4085</v>
      </c>
    </row>
    <row r="188" spans="1:27" x14ac:dyDescent="0.3">
      <c r="A188" s="1">
        <f t="shared" ref="A188:F188" si="29">A143</f>
        <v>44561</v>
      </c>
      <c r="B188">
        <f t="shared" si="29"/>
        <v>40326</v>
      </c>
      <c r="C188">
        <f t="shared" si="29"/>
        <v>16984</v>
      </c>
      <c r="D188">
        <f t="shared" si="29"/>
        <v>11007</v>
      </c>
      <c r="E188">
        <f t="shared" si="29"/>
        <v>1126</v>
      </c>
      <c r="F188">
        <f t="shared" si="29"/>
        <v>3451</v>
      </c>
      <c r="G188">
        <f>G143</f>
        <v>1680</v>
      </c>
      <c r="H188" s="10">
        <f t="shared" si="5"/>
        <v>74574</v>
      </c>
      <c r="I188">
        <f>H143</f>
        <v>13357</v>
      </c>
      <c r="J188">
        <f>I143</f>
        <v>5384</v>
      </c>
      <c r="K188">
        <f>J143</f>
        <v>1169</v>
      </c>
      <c r="L188">
        <f>K143</f>
        <v>1945</v>
      </c>
      <c r="M188" s="10">
        <f t="shared" si="6"/>
        <v>52719</v>
      </c>
      <c r="N188">
        <f>L143</f>
        <v>2467</v>
      </c>
      <c r="O188">
        <f>M143</f>
        <v>2083</v>
      </c>
      <c r="P188">
        <f>N143</f>
        <v>1000</v>
      </c>
      <c r="Q188">
        <f>O143</f>
        <v>6586</v>
      </c>
      <c r="R188">
        <f>P143</f>
        <v>3213</v>
      </c>
      <c r="S188">
        <f>Q143</f>
        <v>13671</v>
      </c>
      <c r="T188">
        <f>R143</f>
        <v>650</v>
      </c>
      <c r="U188">
        <f>S143</f>
        <v>5389</v>
      </c>
      <c r="V188">
        <f>T143</f>
        <v>4893</v>
      </c>
      <c r="W188">
        <f>U143</f>
        <v>3260</v>
      </c>
      <c r="X188">
        <f>V143</f>
        <v>5382</v>
      </c>
      <c r="Y188" s="10">
        <f t="shared" si="7"/>
        <v>48594</v>
      </c>
      <c r="Z188">
        <f>O255-Y188</f>
        <v>2266</v>
      </c>
      <c r="AA188" s="10">
        <f t="shared" si="8"/>
        <v>1859</v>
      </c>
    </row>
    <row r="189" spans="1:27" x14ac:dyDescent="0.3">
      <c r="A189" s="1">
        <f t="shared" ref="A189:F189" si="30">A144</f>
        <v>44651</v>
      </c>
      <c r="B189">
        <f t="shared" si="30"/>
        <v>40622</v>
      </c>
      <c r="C189">
        <f t="shared" si="30"/>
        <v>17100</v>
      </c>
      <c r="D189">
        <f t="shared" si="30"/>
        <v>11146</v>
      </c>
      <c r="E189">
        <f t="shared" si="30"/>
        <v>932</v>
      </c>
      <c r="F189">
        <f t="shared" si="30"/>
        <v>3777</v>
      </c>
      <c r="G189">
        <f>G144</f>
        <v>1437</v>
      </c>
      <c r="H189" s="10">
        <f t="shared" si="5"/>
        <v>75014</v>
      </c>
      <c r="I189">
        <f>H144</f>
        <v>13511</v>
      </c>
      <c r="J189">
        <f>I144</f>
        <v>5267</v>
      </c>
      <c r="K189">
        <f>J144</f>
        <v>1241</v>
      </c>
      <c r="L189">
        <f>K144</f>
        <v>2037</v>
      </c>
      <c r="M189" s="10">
        <f t="shared" si="6"/>
        <v>52958</v>
      </c>
      <c r="N189">
        <f>L144</f>
        <v>2531</v>
      </c>
      <c r="O189">
        <f>M144</f>
        <v>2127</v>
      </c>
      <c r="P189">
        <f>N144</f>
        <v>1042</v>
      </c>
      <c r="Q189">
        <f>O144</f>
        <v>6754</v>
      </c>
      <c r="R189">
        <f>P144</f>
        <v>3312</v>
      </c>
      <c r="S189">
        <f>Q144</f>
        <v>14058</v>
      </c>
      <c r="T189">
        <f>R144</f>
        <v>601</v>
      </c>
      <c r="U189">
        <f>S144</f>
        <v>5542</v>
      </c>
      <c r="V189">
        <f>T144</f>
        <v>5294</v>
      </c>
      <c r="W189">
        <f>U144</f>
        <v>4130</v>
      </c>
      <c r="X189">
        <f>V144</f>
        <v>6384</v>
      </c>
      <c r="Y189" s="10">
        <f t="shared" si="7"/>
        <v>51775</v>
      </c>
      <c r="Z189">
        <f>O256-Y189</f>
        <v>2322</v>
      </c>
      <c r="AA189" s="10">
        <f t="shared" si="8"/>
        <v>-1139</v>
      </c>
    </row>
    <row r="190" spans="1:27" x14ac:dyDescent="0.3">
      <c r="A190" s="1">
        <f t="shared" ref="A190:F190" si="31">A145</f>
        <v>44742</v>
      </c>
      <c r="B190">
        <f t="shared" si="31"/>
        <v>41516</v>
      </c>
      <c r="C190">
        <f t="shared" si="31"/>
        <v>16605</v>
      </c>
      <c r="D190">
        <f t="shared" si="31"/>
        <v>11528</v>
      </c>
      <c r="E190">
        <f t="shared" si="31"/>
        <v>967</v>
      </c>
      <c r="F190">
        <f t="shared" si="31"/>
        <v>4202</v>
      </c>
      <c r="G190">
        <f>G145</f>
        <v>1377</v>
      </c>
      <c r="H190" s="10">
        <f t="shared" si="5"/>
        <v>76195</v>
      </c>
      <c r="I190">
        <f>H145</f>
        <v>14229</v>
      </c>
      <c r="J190">
        <f>I145</f>
        <v>5218</v>
      </c>
      <c r="K190">
        <f>J145</f>
        <v>1401</v>
      </c>
      <c r="L190">
        <f>K145</f>
        <v>2061</v>
      </c>
      <c r="M190" s="10">
        <f t="shared" si="6"/>
        <v>53286</v>
      </c>
      <c r="N190">
        <f>L145</f>
        <v>2535</v>
      </c>
      <c r="O190">
        <f>M145</f>
        <v>2134</v>
      </c>
      <c r="P190">
        <f>N145</f>
        <v>1029</v>
      </c>
      <c r="Q190">
        <f>O145</f>
        <v>6684</v>
      </c>
      <c r="R190">
        <f>P145</f>
        <v>3196</v>
      </c>
      <c r="S190">
        <f>Q145</f>
        <v>14229</v>
      </c>
      <c r="T190">
        <f>R145</f>
        <v>592</v>
      </c>
      <c r="U190">
        <f>S145</f>
        <v>5646</v>
      </c>
      <c r="V190">
        <f>T145</f>
        <v>5234</v>
      </c>
      <c r="W190">
        <f>U145</f>
        <v>3917</v>
      </c>
      <c r="X190">
        <f>V145</f>
        <v>6277</v>
      </c>
      <c r="Y190" s="10">
        <f t="shared" si="7"/>
        <v>51473</v>
      </c>
      <c r="Z190">
        <f>O257-Y190</f>
        <v>2335</v>
      </c>
      <c r="AA190" s="10">
        <f t="shared" si="8"/>
        <v>-522</v>
      </c>
    </row>
    <row r="191" spans="1:27" x14ac:dyDescent="0.3">
      <c r="A191" s="1">
        <f t="shared" ref="A191:F191" si="32">A146</f>
        <v>44834</v>
      </c>
      <c r="B191">
        <f t="shared" si="32"/>
        <v>42701</v>
      </c>
      <c r="C191">
        <f t="shared" si="32"/>
        <v>16023</v>
      </c>
      <c r="D191">
        <f t="shared" si="32"/>
        <v>12007</v>
      </c>
      <c r="E191">
        <f t="shared" si="32"/>
        <v>1108</v>
      </c>
      <c r="F191">
        <f t="shared" si="32"/>
        <v>4448</v>
      </c>
      <c r="G191">
        <f>G146</f>
        <v>1250</v>
      </c>
      <c r="H191" s="10">
        <f t="shared" si="5"/>
        <v>77537</v>
      </c>
      <c r="I191">
        <f>H146</f>
        <v>14158</v>
      </c>
      <c r="J191">
        <f>I146</f>
        <v>5176</v>
      </c>
      <c r="K191">
        <f>J146</f>
        <v>1701</v>
      </c>
      <c r="L191">
        <f>K146</f>
        <v>2181</v>
      </c>
      <c r="M191" s="10">
        <f t="shared" si="6"/>
        <v>54321</v>
      </c>
      <c r="N191">
        <f>L146</f>
        <v>2577</v>
      </c>
      <c r="O191">
        <f>M146</f>
        <v>2162</v>
      </c>
      <c r="P191">
        <f>N146</f>
        <v>1037</v>
      </c>
      <c r="Q191">
        <f>O146</f>
        <v>6877</v>
      </c>
      <c r="R191">
        <f>P146</f>
        <v>3185</v>
      </c>
      <c r="S191">
        <f>Q146</f>
        <v>14471</v>
      </c>
      <c r="T191">
        <f>R146</f>
        <v>573</v>
      </c>
      <c r="U191">
        <f>S146</f>
        <v>5858</v>
      </c>
      <c r="V191">
        <f>T146</f>
        <v>5049</v>
      </c>
      <c r="W191">
        <f>U146</f>
        <v>3949</v>
      </c>
      <c r="X191">
        <f>V146</f>
        <v>7141</v>
      </c>
      <c r="Y191" s="10">
        <f t="shared" si="7"/>
        <v>52879</v>
      </c>
      <c r="Z191">
        <f>O258-Y191</f>
        <v>2344</v>
      </c>
      <c r="AA191" s="10">
        <f t="shared" si="8"/>
        <v>-902</v>
      </c>
    </row>
    <row r="192" spans="1:27" x14ac:dyDescent="0.3">
      <c r="A192" s="1">
        <f t="shared" ref="A192:F192" si="33">A147</f>
        <v>44926</v>
      </c>
      <c r="B192">
        <f t="shared" si="33"/>
        <v>43201</v>
      </c>
      <c r="C192">
        <f t="shared" si="33"/>
        <v>15889</v>
      </c>
      <c r="D192">
        <f t="shared" si="33"/>
        <v>12132</v>
      </c>
      <c r="E192">
        <f t="shared" si="33"/>
        <v>1159</v>
      </c>
      <c r="F192">
        <f t="shared" si="33"/>
        <v>5036</v>
      </c>
      <c r="G192">
        <f>G147</f>
        <v>1200</v>
      </c>
      <c r="H192" s="10">
        <f t="shared" si="5"/>
        <v>78617</v>
      </c>
      <c r="I192">
        <f>H147</f>
        <v>14259</v>
      </c>
      <c r="J192">
        <f>I147</f>
        <v>5153</v>
      </c>
      <c r="K192">
        <f>J147</f>
        <v>2036</v>
      </c>
      <c r="L192">
        <f>K147</f>
        <v>2287</v>
      </c>
      <c r="M192" s="10">
        <f t="shared" si="6"/>
        <v>54882</v>
      </c>
      <c r="N192">
        <f>L147</f>
        <v>2682</v>
      </c>
      <c r="O192">
        <f>M147</f>
        <v>2188</v>
      </c>
      <c r="P192">
        <f>N147</f>
        <v>1030</v>
      </c>
      <c r="Q192">
        <f>O147</f>
        <v>7170</v>
      </c>
      <c r="R192">
        <f>P147</f>
        <v>3142</v>
      </c>
      <c r="S192">
        <f>Q147</f>
        <v>14765</v>
      </c>
      <c r="T192">
        <f>R147</f>
        <v>586</v>
      </c>
      <c r="U192">
        <f>S147</f>
        <v>5962</v>
      </c>
      <c r="V192">
        <f>T147</f>
        <v>5251</v>
      </c>
      <c r="W192">
        <f>U147</f>
        <v>3981</v>
      </c>
      <c r="X192">
        <f>V147</f>
        <v>7358</v>
      </c>
      <c r="Y192" s="10">
        <f t="shared" si="7"/>
        <v>54115</v>
      </c>
      <c r="Z192">
        <f>O259-Y192</f>
        <v>2404</v>
      </c>
      <c r="AA192" s="10">
        <f t="shared" si="8"/>
        <v>-1637</v>
      </c>
    </row>
    <row r="193" spans="1:42" x14ac:dyDescent="0.3">
      <c r="A193" s="1">
        <f t="shared" ref="A193:F193" si="34">A148</f>
        <v>45016</v>
      </c>
      <c r="B193">
        <f t="shared" si="34"/>
        <v>43990</v>
      </c>
      <c r="C193">
        <f t="shared" si="34"/>
        <v>16106</v>
      </c>
      <c r="D193">
        <f t="shared" si="34"/>
        <v>12251</v>
      </c>
      <c r="E193">
        <f t="shared" si="34"/>
        <v>1203</v>
      </c>
      <c r="F193">
        <f t="shared" si="34"/>
        <v>5298</v>
      </c>
      <c r="G193">
        <f>G148</f>
        <v>1094</v>
      </c>
      <c r="H193" s="10">
        <f t="shared" si="5"/>
        <v>79942</v>
      </c>
      <c r="I193">
        <f>H148</f>
        <v>14764</v>
      </c>
      <c r="J193">
        <f>I148</f>
        <v>5159</v>
      </c>
      <c r="K193">
        <f>J148</f>
        <v>2337</v>
      </c>
      <c r="L193">
        <f>K148</f>
        <v>2376</v>
      </c>
      <c r="M193" s="10">
        <f t="shared" si="6"/>
        <v>55306</v>
      </c>
      <c r="N193">
        <f>L148</f>
        <v>2562</v>
      </c>
      <c r="O193">
        <f>M148</f>
        <v>2195</v>
      </c>
      <c r="P193">
        <f>N148</f>
        <v>1019</v>
      </c>
      <c r="Q193">
        <f>O148</f>
        <v>7276</v>
      </c>
      <c r="R193">
        <f>P148</f>
        <v>3210</v>
      </c>
      <c r="S193">
        <f>Q148</f>
        <v>15066</v>
      </c>
      <c r="T193">
        <f>R148</f>
        <v>600</v>
      </c>
      <c r="U193">
        <f>S148</f>
        <v>6132</v>
      </c>
      <c r="V193">
        <f>T148</f>
        <v>5440</v>
      </c>
      <c r="W193">
        <f>U148</f>
        <v>4081</v>
      </c>
      <c r="X193">
        <f>V148</f>
        <v>7573</v>
      </c>
      <c r="Y193" s="10">
        <f t="shared" si="7"/>
        <v>55154</v>
      </c>
      <c r="Z193">
        <f>O260-Y193</f>
        <v>2425</v>
      </c>
      <c r="AA193" s="10">
        <f t="shared" si="8"/>
        <v>-2273</v>
      </c>
    </row>
    <row r="194" spans="1:42" x14ac:dyDescent="0.3">
      <c r="A194" s="1">
        <f t="shared" ref="A194:F194" si="35">A149</f>
        <v>45107</v>
      </c>
      <c r="B194">
        <f t="shared" si="35"/>
        <v>44988</v>
      </c>
      <c r="C194">
        <f t="shared" si="35"/>
        <v>16883</v>
      </c>
      <c r="D194">
        <f t="shared" si="35"/>
        <v>12531</v>
      </c>
      <c r="E194">
        <f t="shared" si="35"/>
        <v>1152</v>
      </c>
      <c r="F194">
        <f t="shared" si="35"/>
        <v>6225</v>
      </c>
      <c r="G194">
        <f>G149</f>
        <v>1193</v>
      </c>
      <c r="H194" s="10">
        <f t="shared" si="5"/>
        <v>82972</v>
      </c>
      <c r="I194">
        <f>H149</f>
        <v>14550</v>
      </c>
      <c r="J194">
        <f>I149</f>
        <v>5448</v>
      </c>
      <c r="K194">
        <f>J149</f>
        <v>2602</v>
      </c>
      <c r="L194">
        <f>K149</f>
        <v>2308</v>
      </c>
      <c r="M194" s="10">
        <f t="shared" si="6"/>
        <v>58064</v>
      </c>
      <c r="N194">
        <f>L149</f>
        <v>2579</v>
      </c>
      <c r="O194">
        <f>M149</f>
        <v>2110</v>
      </c>
      <c r="P194">
        <f>N149</f>
        <v>1008</v>
      </c>
      <c r="Q194">
        <f>O149</f>
        <v>7373</v>
      </c>
      <c r="R194">
        <f>P149</f>
        <v>3189</v>
      </c>
      <c r="S194">
        <f>Q149</f>
        <v>15369</v>
      </c>
      <c r="T194">
        <f>R149</f>
        <v>644</v>
      </c>
      <c r="U194">
        <f>S149</f>
        <v>6292</v>
      </c>
      <c r="V194">
        <f>T149</f>
        <v>5440</v>
      </c>
      <c r="W194">
        <f>U149</f>
        <v>3960</v>
      </c>
      <c r="X194">
        <f>V149</f>
        <v>8089</v>
      </c>
      <c r="Y194" s="10">
        <f t="shared" si="7"/>
        <v>56053</v>
      </c>
      <c r="Z194">
        <f>O261-Y194</f>
        <v>2421</v>
      </c>
      <c r="AA194" s="10">
        <f t="shared" si="8"/>
        <v>-410</v>
      </c>
    </row>
    <row r="195" spans="1:42" x14ac:dyDescent="0.3">
      <c r="A195" s="1">
        <f t="shared" ref="A195:F195" si="36">A150</f>
        <v>45199</v>
      </c>
      <c r="B195">
        <f t="shared" si="36"/>
        <v>45987</v>
      </c>
      <c r="C195">
        <f t="shared" si="36"/>
        <v>17045</v>
      </c>
      <c r="D195">
        <f t="shared" si="36"/>
        <v>12703</v>
      </c>
      <c r="E195">
        <f t="shared" si="36"/>
        <v>1192</v>
      </c>
      <c r="F195">
        <f t="shared" si="36"/>
        <v>6694</v>
      </c>
      <c r="G195">
        <f>G150</f>
        <v>1179</v>
      </c>
      <c r="H195" s="10">
        <f t="shared" si="5"/>
        <v>84800</v>
      </c>
      <c r="I195">
        <f>H150</f>
        <v>15751</v>
      </c>
      <c r="J195">
        <f>I150</f>
        <v>5498</v>
      </c>
      <c r="K195">
        <f>J150</f>
        <v>2822</v>
      </c>
      <c r="L195">
        <f>K150</f>
        <v>2375</v>
      </c>
      <c r="M195" s="10">
        <f t="shared" si="6"/>
        <v>58354</v>
      </c>
      <c r="N195">
        <f>L150</f>
        <v>2606</v>
      </c>
      <c r="O195">
        <f>M150</f>
        <v>2139</v>
      </c>
      <c r="P195">
        <f>N150</f>
        <v>1014</v>
      </c>
      <c r="Q195">
        <f>O150</f>
        <v>7469</v>
      </c>
      <c r="R195">
        <f>P150</f>
        <v>3144</v>
      </c>
      <c r="S195">
        <f>Q150</f>
        <v>15671</v>
      </c>
      <c r="T195">
        <f>R150</f>
        <v>662</v>
      </c>
      <c r="U195">
        <f>S150</f>
        <v>6416</v>
      </c>
      <c r="V195">
        <f>T150</f>
        <v>5317</v>
      </c>
      <c r="W195">
        <f>U150</f>
        <v>3926</v>
      </c>
      <c r="X195">
        <f>V150</f>
        <v>7661</v>
      </c>
      <c r="Y195" s="10">
        <f t="shared" si="7"/>
        <v>56025</v>
      </c>
      <c r="Z195">
        <f>O262-Y195</f>
        <v>2457</v>
      </c>
      <c r="AA195" s="10">
        <f t="shared" si="8"/>
        <v>-128</v>
      </c>
    </row>
    <row r="196" spans="1:42" x14ac:dyDescent="0.3">
      <c r="A196" s="1">
        <f t="shared" ref="A196:F196" si="37">A151</f>
        <v>45291</v>
      </c>
      <c r="B196">
        <f t="shared" si="37"/>
        <v>46705</v>
      </c>
      <c r="C196">
        <f t="shared" si="37"/>
        <v>17055</v>
      </c>
      <c r="D196">
        <f t="shared" si="37"/>
        <v>13114</v>
      </c>
      <c r="E196">
        <f t="shared" si="37"/>
        <v>1129</v>
      </c>
      <c r="F196">
        <f t="shared" si="37"/>
        <v>6741</v>
      </c>
      <c r="G196">
        <f>G151</f>
        <v>1217</v>
      </c>
      <c r="H196" s="10">
        <f t="shared" si="5"/>
        <v>85961</v>
      </c>
      <c r="I196">
        <f>H151</f>
        <v>16144</v>
      </c>
      <c r="J196">
        <f>I151</f>
        <v>5729</v>
      </c>
      <c r="K196">
        <f>J151</f>
        <v>2969</v>
      </c>
      <c r="L196">
        <f>K151</f>
        <v>2427</v>
      </c>
      <c r="M196" s="10">
        <f t="shared" si="6"/>
        <v>58692</v>
      </c>
      <c r="N196">
        <f>L151</f>
        <v>2617</v>
      </c>
      <c r="O196">
        <f>M151</f>
        <v>2078</v>
      </c>
      <c r="P196">
        <f>N151</f>
        <v>1012</v>
      </c>
      <c r="Q196">
        <f>O151</f>
        <v>7509</v>
      </c>
      <c r="R196">
        <f>P151</f>
        <v>3094</v>
      </c>
      <c r="S196">
        <f>Q151</f>
        <v>15948</v>
      </c>
      <c r="T196">
        <f>R151</f>
        <v>691</v>
      </c>
      <c r="U196">
        <f>S151</f>
        <v>6483</v>
      </c>
      <c r="V196">
        <f>T151</f>
        <v>5245</v>
      </c>
      <c r="W196">
        <f>U151</f>
        <v>3934</v>
      </c>
      <c r="X196">
        <f>V151</f>
        <v>7837</v>
      </c>
      <c r="Y196" s="10">
        <f t="shared" si="7"/>
        <v>56448</v>
      </c>
      <c r="Z196">
        <f>O263-Y196</f>
        <v>2535</v>
      </c>
      <c r="AA196" s="10">
        <f t="shared" si="8"/>
        <v>-291</v>
      </c>
    </row>
    <row r="197" spans="1:42" x14ac:dyDescent="0.3">
      <c r="A197" s="1">
        <f t="shared" ref="A197:F197" si="38">A152</f>
        <v>45382</v>
      </c>
      <c r="B197">
        <f t="shared" si="38"/>
        <v>47261</v>
      </c>
      <c r="C197">
        <f t="shared" si="38"/>
        <v>17363</v>
      </c>
      <c r="D197">
        <f t="shared" si="38"/>
        <v>13412</v>
      </c>
      <c r="E197">
        <f t="shared" si="38"/>
        <v>1113</v>
      </c>
      <c r="F197">
        <f t="shared" si="38"/>
        <v>6855</v>
      </c>
      <c r="G197">
        <f>G152</f>
        <v>1135</v>
      </c>
      <c r="H197" s="10">
        <f t="shared" si="5"/>
        <v>87139</v>
      </c>
      <c r="I197">
        <f>H152</f>
        <v>16125</v>
      </c>
      <c r="J197">
        <f>I152</f>
        <v>5790</v>
      </c>
      <c r="K197">
        <f>J152</f>
        <v>3058</v>
      </c>
      <c r="L197">
        <f>K152</f>
        <v>2470</v>
      </c>
      <c r="M197" s="10">
        <f t="shared" si="6"/>
        <v>59696</v>
      </c>
      <c r="N197">
        <f>L152</f>
        <v>2643</v>
      </c>
      <c r="O197">
        <f>M152</f>
        <v>2014</v>
      </c>
      <c r="P197">
        <f>N152</f>
        <v>980</v>
      </c>
      <c r="Q197">
        <f>O152</f>
        <v>7533</v>
      </c>
      <c r="R197">
        <f>P152</f>
        <v>3075</v>
      </c>
      <c r="S197">
        <f>Q152</f>
        <v>16210</v>
      </c>
      <c r="T197">
        <f>R152</f>
        <v>721</v>
      </c>
      <c r="U197">
        <f>S152</f>
        <v>6542</v>
      </c>
      <c r="V197">
        <f>T152</f>
        <v>5277</v>
      </c>
      <c r="W197">
        <f>U152</f>
        <v>4096</v>
      </c>
      <c r="X197">
        <f>V152</f>
        <v>7583</v>
      </c>
      <c r="Y197" s="10">
        <f t="shared" si="7"/>
        <v>56674</v>
      </c>
      <c r="Z197">
        <f>O264-Y197</f>
        <v>2532</v>
      </c>
      <c r="AA197" s="10">
        <f t="shared" si="8"/>
        <v>490</v>
      </c>
    </row>
    <row r="198" spans="1:42" x14ac:dyDescent="0.3">
      <c r="A198" s="1">
        <f t="shared" ref="A198:F198" si="39">A153</f>
        <v>45473</v>
      </c>
      <c r="B198">
        <f t="shared" si="39"/>
        <v>47623</v>
      </c>
      <c r="C198">
        <f t="shared" si="39"/>
        <v>17095</v>
      </c>
      <c r="D198">
        <f t="shared" si="39"/>
        <v>13636</v>
      </c>
      <c r="E198">
        <f t="shared" si="39"/>
        <v>1115</v>
      </c>
      <c r="F198">
        <f t="shared" si="39"/>
        <v>6733</v>
      </c>
      <c r="G198">
        <f>G153</f>
        <v>1181</v>
      </c>
      <c r="H198" s="10">
        <f t="shared" si="5"/>
        <v>87383</v>
      </c>
      <c r="I198">
        <f>H153</f>
        <v>16467</v>
      </c>
      <c r="J198">
        <f>I153</f>
        <v>5874</v>
      </c>
      <c r="K198">
        <f>J153</f>
        <v>3131</v>
      </c>
      <c r="L198">
        <f>K153</f>
        <v>2471</v>
      </c>
      <c r="M198" s="10">
        <f t="shared" si="6"/>
        <v>59440</v>
      </c>
      <c r="N198">
        <f>L153</f>
        <v>2654</v>
      </c>
      <c r="O198">
        <f>M153</f>
        <v>2038</v>
      </c>
      <c r="P198">
        <f>N153</f>
        <v>1000</v>
      </c>
      <c r="Q198">
        <f>O153</f>
        <v>7631</v>
      </c>
      <c r="R198">
        <f>P153</f>
        <v>3074</v>
      </c>
      <c r="S198">
        <f>Q153</f>
        <v>16504</v>
      </c>
      <c r="T198">
        <f>R153</f>
        <v>723</v>
      </c>
      <c r="U198">
        <f>S153</f>
        <v>6630</v>
      </c>
      <c r="V198">
        <f>T153</f>
        <v>5460</v>
      </c>
      <c r="W198">
        <f>U153</f>
        <v>3834</v>
      </c>
      <c r="X198">
        <f>V153</f>
        <v>7377</v>
      </c>
      <c r="Y198" s="10">
        <f t="shared" si="7"/>
        <v>56925</v>
      </c>
      <c r="Z198">
        <f>O265-Y198</f>
        <v>2557</v>
      </c>
      <c r="AA198" s="10">
        <f t="shared" si="8"/>
        <v>-42</v>
      </c>
    </row>
    <row r="199" spans="1:42" x14ac:dyDescent="0.3">
      <c r="A199" s="1">
        <f t="shared" ref="A199:F199" si="40">A154</f>
        <v>45565</v>
      </c>
      <c r="B199">
        <f t="shared" si="40"/>
        <v>47569</v>
      </c>
      <c r="C199">
        <f t="shared" si="40"/>
        <v>17301</v>
      </c>
      <c r="D199">
        <f t="shared" si="40"/>
        <v>13801</v>
      </c>
      <c r="E199">
        <f t="shared" si="40"/>
        <v>1143</v>
      </c>
      <c r="F199">
        <f t="shared" si="40"/>
        <v>6669</v>
      </c>
      <c r="G199">
        <f>G154</f>
        <v>1085</v>
      </c>
      <c r="H199" s="10">
        <f t="shared" si="5"/>
        <v>87568</v>
      </c>
      <c r="I199">
        <f>H154</f>
        <v>16324</v>
      </c>
      <c r="J199">
        <f>I154</f>
        <v>5902</v>
      </c>
      <c r="K199">
        <f>J154</f>
        <v>3156</v>
      </c>
      <c r="L199">
        <f>K154</f>
        <v>2509</v>
      </c>
      <c r="M199" s="10">
        <f t="shared" si="6"/>
        <v>59677</v>
      </c>
      <c r="N199">
        <f>L154</f>
        <v>2652</v>
      </c>
      <c r="O199">
        <f>M154</f>
        <v>2035</v>
      </c>
      <c r="P199">
        <f>N154</f>
        <v>1008</v>
      </c>
      <c r="Q199">
        <f>O154</f>
        <v>7602</v>
      </c>
      <c r="R199">
        <f>P154</f>
        <v>3089</v>
      </c>
      <c r="S199">
        <f>Q154</f>
        <v>16734</v>
      </c>
      <c r="T199">
        <f>R154</f>
        <v>712</v>
      </c>
      <c r="U199">
        <f>S154</f>
        <v>6709</v>
      </c>
      <c r="V199">
        <f>T154</f>
        <v>5464</v>
      </c>
      <c r="W199">
        <f>U154</f>
        <v>3775</v>
      </c>
      <c r="X199">
        <f>V154</f>
        <v>7378</v>
      </c>
      <c r="Y199" s="10">
        <f t="shared" si="7"/>
        <v>57158</v>
      </c>
      <c r="Z199">
        <f>O266-Y199</f>
        <v>2612</v>
      </c>
      <c r="AA199" s="10">
        <f t="shared" si="8"/>
        <v>-93</v>
      </c>
    </row>
    <row r="200" spans="1:42" x14ac:dyDescent="0.3">
      <c r="A200" s="1">
        <f t="shared" ref="A200:F200" si="41">A155</f>
        <v>45657</v>
      </c>
      <c r="B200">
        <f t="shared" si="41"/>
        <v>47449</v>
      </c>
      <c r="C200">
        <f t="shared" si="41"/>
        <v>17760</v>
      </c>
      <c r="D200">
        <f t="shared" si="41"/>
        <v>14086</v>
      </c>
      <c r="E200">
        <f t="shared" si="41"/>
        <v>1043</v>
      </c>
      <c r="F200">
        <f t="shared" si="41"/>
        <v>6519</v>
      </c>
      <c r="G200">
        <f>G155</f>
        <v>1046</v>
      </c>
      <c r="H200" s="10">
        <f t="shared" si="5"/>
        <v>87903</v>
      </c>
      <c r="I200">
        <f>H155</f>
        <v>16079</v>
      </c>
      <c r="J200">
        <f>I155</f>
        <v>5817</v>
      </c>
      <c r="K200">
        <f>J155</f>
        <v>3013</v>
      </c>
      <c r="L200">
        <f>K155</f>
        <v>2526</v>
      </c>
      <c r="M200" s="10">
        <f t="shared" si="6"/>
        <v>60468</v>
      </c>
      <c r="N200">
        <f>L155</f>
        <v>2658</v>
      </c>
      <c r="O200">
        <f>M155</f>
        <v>2047</v>
      </c>
      <c r="P200">
        <f>N155</f>
        <v>988</v>
      </c>
      <c r="Q200">
        <f>O155</f>
        <v>7623</v>
      </c>
      <c r="R200">
        <f>P155</f>
        <v>3126</v>
      </c>
      <c r="S200">
        <f>Q155</f>
        <v>16918</v>
      </c>
      <c r="T200">
        <f>R155</f>
        <v>726</v>
      </c>
      <c r="U200">
        <f>S155</f>
        <v>6757</v>
      </c>
      <c r="V200">
        <f>T155</f>
        <v>5517</v>
      </c>
      <c r="W200">
        <f>U155</f>
        <v>3906</v>
      </c>
      <c r="X200">
        <f>V155</f>
        <v>7334</v>
      </c>
      <c r="Y200" s="10">
        <f t="shared" si="7"/>
        <v>57600</v>
      </c>
      <c r="Z200">
        <f>O267-Y200</f>
        <v>2611</v>
      </c>
      <c r="AA200" s="10">
        <f t="shared" si="8"/>
        <v>257</v>
      </c>
    </row>
    <row r="201" spans="1:42" x14ac:dyDescent="0.3">
      <c r="A201" s="1">
        <f t="shared" ref="A201:F201" si="42">A156</f>
        <v>45747</v>
      </c>
      <c r="B201">
        <f t="shared" si="42"/>
        <v>48095</v>
      </c>
      <c r="C201">
        <f t="shared" si="42"/>
        <v>17837</v>
      </c>
      <c r="D201">
        <f t="shared" si="42"/>
        <v>14446</v>
      </c>
      <c r="E201">
        <f t="shared" si="42"/>
        <v>1140</v>
      </c>
      <c r="F201">
        <f t="shared" si="42"/>
        <v>6458</v>
      </c>
      <c r="G201">
        <f>G156</f>
        <v>960</v>
      </c>
      <c r="H201" s="10">
        <f t="shared" si="5"/>
        <v>88936</v>
      </c>
      <c r="I201">
        <f>H156</f>
        <v>16043</v>
      </c>
      <c r="J201">
        <f>I156</f>
        <v>5940</v>
      </c>
      <c r="K201">
        <f>J156</f>
        <v>2815</v>
      </c>
      <c r="L201">
        <f>K156</f>
        <v>2545</v>
      </c>
      <c r="M201" s="10">
        <f t="shared" si="6"/>
        <v>61593</v>
      </c>
      <c r="N201">
        <f>L156</f>
        <v>2638</v>
      </c>
      <c r="O201">
        <f>M156</f>
        <v>2072</v>
      </c>
      <c r="P201">
        <f>N156</f>
        <v>971</v>
      </c>
      <c r="Q201">
        <f>O156</f>
        <v>7718</v>
      </c>
      <c r="R201">
        <f>P156</f>
        <v>3153</v>
      </c>
      <c r="S201">
        <f>Q156</f>
        <v>17122</v>
      </c>
      <c r="T201">
        <f>R156</f>
        <v>748</v>
      </c>
      <c r="U201">
        <f>S156</f>
        <v>6818</v>
      </c>
      <c r="V201">
        <f>T156</f>
        <v>5725</v>
      </c>
      <c r="W201">
        <f>U156</f>
        <v>4138</v>
      </c>
      <c r="X201">
        <f>V156</f>
        <v>7705</v>
      </c>
      <c r="Y201" s="10">
        <f t="shared" si="7"/>
        <v>58808</v>
      </c>
      <c r="Z201">
        <f>O268-Y201</f>
        <v>2636</v>
      </c>
      <c r="AA201" s="10">
        <f t="shared" si="8"/>
        <v>149</v>
      </c>
    </row>
    <row r="202" spans="1:42" x14ac:dyDescent="0.3">
      <c r="A202" s="1">
        <f t="shared" ref="A202:F202" si="43">A157</f>
        <v>45838</v>
      </c>
      <c r="B202">
        <f t="shared" si="43"/>
        <v>48138</v>
      </c>
      <c r="C202">
        <f t="shared" si="43"/>
        <v>18396</v>
      </c>
      <c r="D202">
        <f t="shared" si="43"/>
        <v>14626</v>
      </c>
      <c r="E202">
        <f t="shared" si="43"/>
        <v>1183</v>
      </c>
      <c r="F202">
        <f t="shared" si="43"/>
        <v>6631</v>
      </c>
      <c r="G202">
        <f>G157</f>
        <v>965</v>
      </c>
      <c r="H202" s="10">
        <f t="shared" si="5"/>
        <v>89939</v>
      </c>
      <c r="I202">
        <f>H157</f>
        <v>16020</v>
      </c>
      <c r="J202">
        <f>I157</f>
        <v>5990</v>
      </c>
      <c r="K202">
        <f>J157</f>
        <v>2594</v>
      </c>
      <c r="L202">
        <f>K157</f>
        <v>2569</v>
      </c>
      <c r="M202" s="10">
        <f t="shared" si="6"/>
        <v>62766</v>
      </c>
      <c r="N202">
        <f>L157</f>
        <v>2657</v>
      </c>
      <c r="O202">
        <f>M157</f>
        <v>2063</v>
      </c>
      <c r="P202">
        <f>N157</f>
        <v>993</v>
      </c>
      <c r="Q202">
        <f>O157</f>
        <v>7867</v>
      </c>
      <c r="R202">
        <f>P157</f>
        <v>3186</v>
      </c>
      <c r="S202">
        <f>Q157</f>
        <v>17332</v>
      </c>
      <c r="T202">
        <f>R157</f>
        <v>758</v>
      </c>
      <c r="U202">
        <f>S157</f>
        <v>6898</v>
      </c>
      <c r="V202">
        <f>T157</f>
        <v>5899</v>
      </c>
      <c r="W202">
        <f>U157</f>
        <v>3982</v>
      </c>
      <c r="X202">
        <f>V157</f>
        <v>7657</v>
      </c>
      <c r="Y202" s="10">
        <f t="shared" si="7"/>
        <v>59292</v>
      </c>
      <c r="Z202">
        <f>O269-Y202</f>
        <v>2670</v>
      </c>
      <c r="AA202" s="10">
        <f t="shared" si="8"/>
        <v>804</v>
      </c>
    </row>
    <row r="203" spans="1:42" s="8" customFormat="1" x14ac:dyDescent="0.3">
      <c r="A203" s="7"/>
      <c r="B203" s="8" t="s">
        <v>36</v>
      </c>
      <c r="C203" s="8" t="s">
        <v>36</v>
      </c>
      <c r="D203" s="8" t="s">
        <v>36</v>
      </c>
      <c r="E203" s="8" t="s">
        <v>36</v>
      </c>
      <c r="F203" s="8" t="s">
        <v>36</v>
      </c>
      <c r="G203" s="8" t="s">
        <v>36</v>
      </c>
      <c r="H203" s="13"/>
      <c r="I203" s="8" t="s">
        <v>36</v>
      </c>
      <c r="K203" s="8" t="s">
        <v>36</v>
      </c>
      <c r="L203" s="8" t="s">
        <v>36</v>
      </c>
      <c r="M203" s="13"/>
      <c r="Y203" s="13"/>
      <c r="AA203" s="13"/>
    </row>
    <row r="204" spans="1:42" x14ac:dyDescent="0.3">
      <c r="A204" s="1"/>
    </row>
    <row r="205" spans="1:42" x14ac:dyDescent="0.3">
      <c r="A205" s="1"/>
    </row>
    <row r="206" spans="1:42" x14ac:dyDescent="0.3">
      <c r="A206" s="1">
        <f>A170</f>
        <v>42916</v>
      </c>
      <c r="B206">
        <f>SUM(B167:B170)</f>
        <v>116874</v>
      </c>
      <c r="C206">
        <f>SUM(C167:C170)</f>
        <v>44389</v>
      </c>
      <c r="D206">
        <f>SUM(D167:D170)</f>
        <v>31151</v>
      </c>
      <c r="E206">
        <f>SUM(E167:E170)</f>
        <v>4838</v>
      </c>
      <c r="F206">
        <f>SUM(F167:F170)</f>
        <v>15695</v>
      </c>
      <c r="G206">
        <f>SUM(G167:G170)</f>
        <v>3757</v>
      </c>
      <c r="H206" s="10">
        <f>SUM(H167:H170)</f>
        <v>216704</v>
      </c>
      <c r="I206">
        <f>SUM(I167:I170)</f>
        <v>35608</v>
      </c>
      <c r="J206">
        <f>SUM(J167:J170)</f>
        <v>15856</v>
      </c>
      <c r="K206">
        <f>SUM(K167:K170)</f>
        <v>6911</v>
      </c>
      <c r="L206">
        <f>SUM(L167:L170)</f>
        <v>5223</v>
      </c>
      <c r="M206" s="10">
        <f>SUM(M167:M170)</f>
        <v>153106</v>
      </c>
      <c r="N206">
        <f>SUM(N167:N170)</f>
        <v>8209</v>
      </c>
      <c r="O206">
        <f>SUM(O167:O170)</f>
        <v>5886</v>
      </c>
      <c r="P206">
        <f>SUM(P167:P170)</f>
        <v>3861</v>
      </c>
      <c r="Q206">
        <f>SUM(Q167:Q170)</f>
        <v>21039</v>
      </c>
      <c r="R206">
        <f>SUM(R167:R170)</f>
        <v>8657</v>
      </c>
      <c r="S206">
        <f>SUM(S167:S170)</f>
        <v>40938</v>
      </c>
      <c r="T206">
        <f>SUM(T167:T170)</f>
        <v>1478</v>
      </c>
      <c r="U206">
        <f>SUM(U167:U170)</f>
        <v>15245</v>
      </c>
      <c r="V206">
        <f>SUM(V167:V170)</f>
        <v>14096</v>
      </c>
      <c r="W206">
        <f>SUM(W167:W170)</f>
        <v>9963</v>
      </c>
      <c r="X206">
        <f>SUM(X167:X170)</f>
        <v>21200</v>
      </c>
      <c r="Y206" s="10">
        <f>SUM(Y167:Y170)</f>
        <v>150572</v>
      </c>
      <c r="Z206">
        <f t="shared" ref="Z206:AA206" si="44">SUM(Z167:Z170)</f>
        <v>6291</v>
      </c>
      <c r="AA206" s="10">
        <f t="shared" si="44"/>
        <v>-3757</v>
      </c>
      <c r="AC206" s="9">
        <f>N206/$Y206</f>
        <v>5.451876842972133E-2</v>
      </c>
      <c r="AD206" s="9">
        <f t="shared" ref="AD206:AN206" si="45">O206/$Y206</f>
        <v>3.9090933241240071E-2</v>
      </c>
      <c r="AE206" s="9">
        <f t="shared" si="45"/>
        <v>2.5642217676593259E-2</v>
      </c>
      <c r="AF206" s="9">
        <f t="shared" si="45"/>
        <v>0.1397271737109157</v>
      </c>
      <c r="AG206" s="9">
        <f t="shared" si="45"/>
        <v>5.7494089206492578E-2</v>
      </c>
      <c r="AH206" s="9">
        <f t="shared" si="45"/>
        <v>0.27188321865951171</v>
      </c>
      <c r="AI206" s="9">
        <f t="shared" si="45"/>
        <v>9.8159020269372784E-3</v>
      </c>
      <c r="AJ206" s="9">
        <f t="shared" si="45"/>
        <v>0.10124724384347687</v>
      </c>
      <c r="AK206" s="9">
        <f t="shared" si="45"/>
        <v>9.3616343011980976E-2</v>
      </c>
      <c r="AL206" s="9">
        <f t="shared" si="45"/>
        <v>6.6167680578062327E-2</v>
      </c>
      <c r="AM206" s="9">
        <f t="shared" si="45"/>
        <v>0.14079642961506789</v>
      </c>
      <c r="AN206" s="9">
        <f t="shared" si="45"/>
        <v>1</v>
      </c>
      <c r="AO206" s="9"/>
      <c r="AP206" s="9">
        <f>(Y206-Z206)/M206</f>
        <v>0.94236019489765266</v>
      </c>
    </row>
    <row r="207" spans="1:42" x14ac:dyDescent="0.3">
      <c r="A207" s="1">
        <f>A174</f>
        <v>43281</v>
      </c>
      <c r="B207">
        <f>SUM(B171:B174)</f>
        <v>124488</v>
      </c>
      <c r="C207">
        <f>SUM(C171:C174)</f>
        <v>47976</v>
      </c>
      <c r="D207">
        <f>SUM(D171:D174)</f>
        <v>32126</v>
      </c>
      <c r="E207">
        <f>SUM(E171:E174)</f>
        <v>5071</v>
      </c>
      <c r="F207">
        <f>SUM(F171:F174)</f>
        <v>16684</v>
      </c>
      <c r="G207">
        <f>SUM(G171:G174)</f>
        <v>3947</v>
      </c>
      <c r="H207" s="10">
        <f>SUM(H171:H174)</f>
        <v>230292</v>
      </c>
      <c r="I207">
        <f>SUM(I171:I174)</f>
        <v>37490</v>
      </c>
      <c r="J207">
        <f>SUM(J171:J174)</f>
        <v>16543</v>
      </c>
      <c r="K207">
        <f>SUM(K171:K174)</f>
        <v>6830</v>
      </c>
      <c r="L207">
        <f>SUM(L171:L174)</f>
        <v>5639</v>
      </c>
      <c r="M207" s="10">
        <f>SUM(M171:M174)</f>
        <v>163790</v>
      </c>
      <c r="N207">
        <f>SUM(N171:N174)</f>
        <v>8569</v>
      </c>
      <c r="O207">
        <f>SUM(O171:O174)</f>
        <v>6158</v>
      </c>
      <c r="P207">
        <f>SUM(P171:P174)</f>
        <v>3853</v>
      </c>
      <c r="Q207">
        <f>SUM(Q171:Q174)</f>
        <v>22321</v>
      </c>
      <c r="R207">
        <f>SUM(R171:R174)</f>
        <v>9130</v>
      </c>
      <c r="S207">
        <f>SUM(S171:S174)</f>
        <v>43572</v>
      </c>
      <c r="T207">
        <f>SUM(T171:T174)</f>
        <v>1661</v>
      </c>
      <c r="U207">
        <f>SUM(U171:U174)</f>
        <v>16528</v>
      </c>
      <c r="V207">
        <f>SUM(V171:V174)</f>
        <v>14686</v>
      </c>
      <c r="W207">
        <f>SUM(W171:W174)</f>
        <v>10510</v>
      </c>
      <c r="X207">
        <f>SUM(X171:X174)</f>
        <v>22954</v>
      </c>
      <c r="Y207" s="10">
        <f>SUM(Y171:Y174)</f>
        <v>159942</v>
      </c>
      <c r="Z207">
        <f t="shared" ref="Z207:AA207" si="46">SUM(Z171:Z174)</f>
        <v>6340</v>
      </c>
      <c r="AA207" s="10">
        <f t="shared" si="46"/>
        <v>-2492</v>
      </c>
      <c r="AC207" s="9">
        <f t="shared" ref="AC207:AC214" si="47">N207/$Y207</f>
        <v>5.3575671180803044E-2</v>
      </c>
      <c r="AD207" s="9">
        <f t="shared" ref="AD207:AD214" si="48">O207/$Y207</f>
        <v>3.8501456778082054E-2</v>
      </c>
      <c r="AE207" s="9">
        <f t="shared" ref="AE207:AE214" si="49">P207/$Y207</f>
        <v>2.4089982618699279E-2</v>
      </c>
      <c r="AF207" s="9">
        <f t="shared" ref="AF207:AF214" si="50">Q207/$Y207</f>
        <v>0.13955683935426591</v>
      </c>
      <c r="AG207" s="9">
        <f t="shared" ref="AG207:AG214" si="51">R207/$Y207</f>
        <v>5.7083192657338286E-2</v>
      </c>
      <c r="AH207" s="9">
        <f t="shared" ref="AH207:AH214" si="52">S207/$Y207</f>
        <v>0.27242375361068388</v>
      </c>
      <c r="AI207" s="9">
        <f t="shared" ref="AI207:AI214" si="53">T207/$Y207</f>
        <v>1.038501456778082E-2</v>
      </c>
      <c r="AJ207" s="9">
        <f t="shared" ref="AJ207:AJ214" si="54">U207/$Y207</f>
        <v>0.10333745982918809</v>
      </c>
      <c r="AK207" s="9">
        <f t="shared" ref="AK207:AK214" si="55">V207/$Y207</f>
        <v>9.1820785034575039E-2</v>
      </c>
      <c r="AL207" s="9">
        <f t="shared" ref="AL207:AL214" si="56">W207/$Y207</f>
        <v>6.5711320353628186E-2</v>
      </c>
      <c r="AM207" s="9">
        <f t="shared" ref="AM207:AM214" si="57">X207/$Y207</f>
        <v>0.14351452401495543</v>
      </c>
      <c r="AN207" s="9">
        <f t="shared" ref="AN207:AN214" si="58">Y207/$Y207</f>
        <v>1</v>
      </c>
      <c r="AO207" s="9"/>
      <c r="AP207" s="9">
        <f t="shared" ref="AP207:AP214" si="59">(Y207-Z207)/M207</f>
        <v>0.93779840039074425</v>
      </c>
    </row>
    <row r="208" spans="1:42" x14ac:dyDescent="0.3">
      <c r="A208" s="1">
        <f>A178</f>
        <v>43646</v>
      </c>
      <c r="B208">
        <f>SUM(B175:B178)</f>
        <v>132324</v>
      </c>
      <c r="C208">
        <f>SUM(C175:C178)</f>
        <v>50981</v>
      </c>
      <c r="D208">
        <f>SUM(D175:D178)</f>
        <v>34938</v>
      </c>
      <c r="E208">
        <f>SUM(E175:E178)</f>
        <v>4887</v>
      </c>
      <c r="F208">
        <f>SUM(F175:F178)</f>
        <v>17742</v>
      </c>
      <c r="G208">
        <f>SUM(G175:G178)</f>
        <v>4741</v>
      </c>
      <c r="H208" s="10">
        <f>SUM(H175:H178)</f>
        <v>245613</v>
      </c>
      <c r="I208">
        <f>SUM(I175:I178)</f>
        <v>40606</v>
      </c>
      <c r="J208">
        <f>SUM(J175:J178)</f>
        <v>17146</v>
      </c>
      <c r="K208">
        <f>SUM(K175:K178)</f>
        <v>7068</v>
      </c>
      <c r="L208">
        <f>SUM(L175:L178)</f>
        <v>6003</v>
      </c>
      <c r="M208" s="10">
        <f>SUM(M175:M178)</f>
        <v>174790</v>
      </c>
      <c r="N208">
        <f>SUM(N175:N178)</f>
        <v>9015</v>
      </c>
      <c r="O208">
        <f>SUM(O175:O178)</f>
        <v>6557</v>
      </c>
      <c r="P208">
        <f>SUM(P175:P178)</f>
        <v>3809</v>
      </c>
      <c r="Q208">
        <f>SUM(Q175:Q178)</f>
        <v>22807</v>
      </c>
      <c r="R208">
        <f>SUM(R175:R178)</f>
        <v>9671</v>
      </c>
      <c r="S208">
        <f>SUM(S175:S178)</f>
        <v>46254</v>
      </c>
      <c r="T208">
        <f>SUM(T175:T178)</f>
        <v>1948</v>
      </c>
      <c r="U208">
        <f>SUM(U175:U178)</f>
        <v>18041</v>
      </c>
      <c r="V208">
        <f>SUM(V175:V178)</f>
        <v>15550</v>
      </c>
      <c r="W208">
        <f>SUM(W175:W178)</f>
        <v>11157</v>
      </c>
      <c r="X208">
        <f>SUM(X175:X178)</f>
        <v>24295</v>
      </c>
      <c r="Y208" s="10">
        <f>SUM(Y175:Y178)</f>
        <v>169104</v>
      </c>
      <c r="Z208">
        <f t="shared" ref="Z208:AA208" si="60">SUM(Z175:Z178)</f>
        <v>6914</v>
      </c>
      <c r="AA208" s="10">
        <f t="shared" si="60"/>
        <v>-1228</v>
      </c>
      <c r="AC208" s="9">
        <f t="shared" si="47"/>
        <v>5.3310388873119501E-2</v>
      </c>
      <c r="AD208" s="9">
        <f t="shared" si="48"/>
        <v>3.8774955057242877E-2</v>
      </c>
      <c r="AE208" s="9">
        <f t="shared" si="49"/>
        <v>2.252460024600246E-2</v>
      </c>
      <c r="AF208" s="9">
        <f t="shared" si="50"/>
        <v>0.13486966600435235</v>
      </c>
      <c r="AG208" s="9">
        <f t="shared" si="51"/>
        <v>5.7189658435045886E-2</v>
      </c>
      <c r="AH208" s="9">
        <f t="shared" si="52"/>
        <v>0.27352398523985239</v>
      </c>
      <c r="AI208" s="9">
        <f t="shared" si="53"/>
        <v>1.15195382723058E-2</v>
      </c>
      <c r="AJ208" s="9">
        <f t="shared" si="54"/>
        <v>0.10668582647364935</v>
      </c>
      <c r="AK208" s="9">
        <f t="shared" si="55"/>
        <v>9.195524647554168E-2</v>
      </c>
      <c r="AL208" s="9">
        <f t="shared" si="56"/>
        <v>6.5977150156116951E-2</v>
      </c>
      <c r="AM208" s="9">
        <f t="shared" si="57"/>
        <v>0.14366898476677076</v>
      </c>
      <c r="AN208" s="9">
        <f t="shared" si="58"/>
        <v>1</v>
      </c>
      <c r="AO208" s="9"/>
      <c r="AP208" s="9">
        <f t="shared" si="59"/>
        <v>0.92791349619543451</v>
      </c>
    </row>
    <row r="209" spans="1:42" x14ac:dyDescent="0.3">
      <c r="A209" s="1">
        <f>A182</f>
        <v>44012</v>
      </c>
      <c r="B209">
        <f>SUM(B179:B182)</f>
        <v>139516</v>
      </c>
      <c r="C209">
        <f>SUM(C179:C182)</f>
        <v>55762</v>
      </c>
      <c r="D209">
        <f>SUM(D179:D182)</f>
        <v>38038</v>
      </c>
      <c r="E209">
        <f>SUM(E179:E182)</f>
        <v>4999</v>
      </c>
      <c r="F209">
        <f>SUM(F179:F182)</f>
        <v>16899</v>
      </c>
      <c r="G209">
        <f>SUM(G179:G182)</f>
        <v>5662</v>
      </c>
      <c r="H209" s="10">
        <f>SUM(H179:H182)</f>
        <v>260876</v>
      </c>
      <c r="I209">
        <f>SUM(I179:I182)</f>
        <v>42231</v>
      </c>
      <c r="J209">
        <f>SUM(J179:J182)</f>
        <v>19009</v>
      </c>
      <c r="K209">
        <f>SUM(K179:K182)</f>
        <v>6293</v>
      </c>
      <c r="L209">
        <f>SUM(L179:L182)</f>
        <v>6394</v>
      </c>
      <c r="M209" s="10">
        <f>SUM(M179:M182)</f>
        <v>186949</v>
      </c>
      <c r="N209">
        <f>SUM(N179:N182)</f>
        <v>9416</v>
      </c>
      <c r="O209">
        <f>SUM(O179:O182)</f>
        <v>6335</v>
      </c>
      <c r="P209">
        <f>SUM(P179:P182)</f>
        <v>3870</v>
      </c>
      <c r="Q209">
        <f>SUM(Q179:Q182)</f>
        <v>23933</v>
      </c>
      <c r="R209">
        <f>SUM(R179:R182)</f>
        <v>9843</v>
      </c>
      <c r="S209">
        <f>SUM(S179:S182)</f>
        <v>48805</v>
      </c>
      <c r="T209">
        <f>SUM(T179:T182)</f>
        <v>2191</v>
      </c>
      <c r="U209">
        <f>SUM(U179:U182)</f>
        <v>18597</v>
      </c>
      <c r="V209">
        <f>SUM(V179:V182)</f>
        <v>15756</v>
      </c>
      <c r="W209">
        <f>SUM(W179:W182)</f>
        <v>10352</v>
      </c>
      <c r="X209">
        <f>SUM(X179:X182)</f>
        <v>21023</v>
      </c>
      <c r="Y209" s="10">
        <f>SUM(Y179:Y182)</f>
        <v>170121</v>
      </c>
      <c r="Z209">
        <f t="shared" ref="Z209:AA209" si="61">SUM(Z179:Z182)</f>
        <v>6904</v>
      </c>
      <c r="AA209" s="10">
        <f t="shared" si="61"/>
        <v>9924</v>
      </c>
      <c r="AC209" s="9">
        <f t="shared" si="47"/>
        <v>5.5348839943334449E-2</v>
      </c>
      <c r="AD209" s="9">
        <f t="shared" si="48"/>
        <v>3.7238201045138461E-2</v>
      </c>
      <c r="AE209" s="9">
        <f t="shared" si="49"/>
        <v>2.2748514292768088E-2</v>
      </c>
      <c r="AF209" s="9">
        <f t="shared" si="50"/>
        <v>0.14068222030202032</v>
      </c>
      <c r="AG209" s="9">
        <f t="shared" si="51"/>
        <v>5.7858818135327207E-2</v>
      </c>
      <c r="AH209" s="9">
        <f t="shared" si="52"/>
        <v>0.28688404135879758</v>
      </c>
      <c r="AI209" s="9">
        <f t="shared" si="53"/>
        <v>1.287906842776612E-2</v>
      </c>
      <c r="AJ209" s="9">
        <f t="shared" si="54"/>
        <v>0.10931631015571269</v>
      </c>
      <c r="AK209" s="9">
        <f t="shared" si="55"/>
        <v>9.2616431833812407E-2</v>
      </c>
      <c r="AL209" s="9">
        <f t="shared" si="56"/>
        <v>6.085080619088766E-2</v>
      </c>
      <c r="AM209" s="9">
        <f t="shared" si="57"/>
        <v>0.12357674831443502</v>
      </c>
      <c r="AN209" s="9">
        <f t="shared" si="58"/>
        <v>1</v>
      </c>
      <c r="AO209" s="9"/>
      <c r="AP209" s="9">
        <f t="shared" si="59"/>
        <v>0.87305628807856683</v>
      </c>
    </row>
    <row r="210" spans="1:42" x14ac:dyDescent="0.3">
      <c r="A210" s="1">
        <f>A186</f>
        <v>44377</v>
      </c>
      <c r="B210">
        <f>SUM(B183:B186)</f>
        <v>148082</v>
      </c>
      <c r="C210">
        <f>SUM(C183:C186)</f>
        <v>61491</v>
      </c>
      <c r="D210">
        <f>SUM(D183:D186)</f>
        <v>41828</v>
      </c>
      <c r="E210">
        <f>SUM(E183:E186)</f>
        <v>5892</v>
      </c>
      <c r="F210">
        <f>SUM(F183:F186)</f>
        <v>18137</v>
      </c>
      <c r="G210">
        <f>SUM(G183:G186)</f>
        <v>6767</v>
      </c>
      <c r="H210" s="10">
        <f>SUM(H183:H186)</f>
        <v>282197</v>
      </c>
      <c r="I210">
        <f>SUM(I183:I186)</f>
        <v>47474</v>
      </c>
      <c r="J210">
        <f>SUM(J183:J186)</f>
        <v>20461</v>
      </c>
      <c r="K210">
        <f>SUM(K183:K186)</f>
        <v>5064</v>
      </c>
      <c r="L210">
        <f>SUM(L183:L186)</f>
        <v>6821</v>
      </c>
      <c r="M210" s="10">
        <f>SUM(M183:M186)</f>
        <v>202377</v>
      </c>
      <c r="N210">
        <f>SUM(N183:N186)</f>
        <v>9770</v>
      </c>
      <c r="O210">
        <f>SUM(O183:O186)</f>
        <v>7765</v>
      </c>
      <c r="P210">
        <f>SUM(P183:P186)</f>
        <v>3961</v>
      </c>
      <c r="Q210">
        <f>SUM(Q183:Q186)</f>
        <v>24705</v>
      </c>
      <c r="R210">
        <f>SUM(R183:R186)</f>
        <v>12205</v>
      </c>
      <c r="S210">
        <f>SUM(S183:S186)</f>
        <v>51543</v>
      </c>
      <c r="T210">
        <f>SUM(T183:T186)</f>
        <v>2026</v>
      </c>
      <c r="U210">
        <f>SUM(U183:U186)</f>
        <v>19941</v>
      </c>
      <c r="V210">
        <f>SUM(V183:V186)</f>
        <v>18405</v>
      </c>
      <c r="W210">
        <f>SUM(W183:W186)</f>
        <v>14499</v>
      </c>
      <c r="X210">
        <f>SUM(X183:X186)</f>
        <v>21075</v>
      </c>
      <c r="Y210" s="10">
        <f>SUM(Y183:Y186)</f>
        <v>185895</v>
      </c>
      <c r="Z210">
        <f t="shared" ref="Z210:AA210" si="62">SUM(Z183:Z186)</f>
        <v>8021</v>
      </c>
      <c r="AA210" s="10">
        <f t="shared" si="62"/>
        <v>8461</v>
      </c>
      <c r="AC210" s="9">
        <f t="shared" si="47"/>
        <v>5.2556550741009712E-2</v>
      </c>
      <c r="AD210" s="9">
        <f t="shared" si="48"/>
        <v>4.17708921703112E-2</v>
      </c>
      <c r="AE210" s="9">
        <f t="shared" si="49"/>
        <v>2.1307727480566988E-2</v>
      </c>
      <c r="AF210" s="9">
        <f t="shared" si="50"/>
        <v>0.13289760348583879</v>
      </c>
      <c r="AG210" s="9">
        <f t="shared" si="51"/>
        <v>6.5655343070012639E-2</v>
      </c>
      <c r="AH210" s="9">
        <f t="shared" si="52"/>
        <v>0.27726942628903412</v>
      </c>
      <c r="AI210" s="9">
        <f t="shared" si="53"/>
        <v>1.0898625568197101E-2</v>
      </c>
      <c r="AJ210" s="9">
        <f t="shared" si="54"/>
        <v>0.10727023319615912</v>
      </c>
      <c r="AK210" s="9">
        <f t="shared" si="55"/>
        <v>9.9007504236262409E-2</v>
      </c>
      <c r="AL210" s="9">
        <f t="shared" si="56"/>
        <v>7.799564270152505E-2</v>
      </c>
      <c r="AM210" s="9">
        <f t="shared" si="57"/>
        <v>0.11337045106108287</v>
      </c>
      <c r="AN210" s="9">
        <f t="shared" si="58"/>
        <v>1</v>
      </c>
      <c r="AO210" s="9"/>
      <c r="AP210" s="9">
        <f t="shared" si="59"/>
        <v>0.8789239883978911</v>
      </c>
    </row>
    <row r="211" spans="1:42" x14ac:dyDescent="0.3">
      <c r="A211" s="1">
        <f>A190</f>
        <v>44742</v>
      </c>
      <c r="B211">
        <f>SUM(B187:B190)</f>
        <v>161389</v>
      </c>
      <c r="C211">
        <f>SUM(C187:C190)</f>
        <v>67153</v>
      </c>
      <c r="D211">
        <f>SUM(D187:D190)</f>
        <v>44313</v>
      </c>
      <c r="E211">
        <f>SUM(E187:E190)</f>
        <v>4366</v>
      </c>
      <c r="F211">
        <f>SUM(F187:F190)</f>
        <v>14972</v>
      </c>
      <c r="G211">
        <f>SUM(G187:G190)</f>
        <v>6135</v>
      </c>
      <c r="H211" s="10">
        <f>SUM(H187:H190)</f>
        <v>298328</v>
      </c>
      <c r="I211">
        <f>SUM(I187:I190)</f>
        <v>53609</v>
      </c>
      <c r="J211">
        <f>SUM(J187:J190)</f>
        <v>21149</v>
      </c>
      <c r="K211">
        <f>SUM(K187:K190)</f>
        <v>4945</v>
      </c>
      <c r="L211">
        <f>SUM(L187:L190)</f>
        <v>7916</v>
      </c>
      <c r="M211" s="10">
        <f>SUM(M187:M190)</f>
        <v>210709</v>
      </c>
      <c r="N211">
        <f>SUM(N187:N190)</f>
        <v>9857</v>
      </c>
      <c r="O211">
        <f>SUM(O187:O190)</f>
        <v>8045</v>
      </c>
      <c r="P211">
        <f>SUM(P187:P190)</f>
        <v>4047</v>
      </c>
      <c r="Q211">
        <f>SUM(Q187:Q190)</f>
        <v>26700</v>
      </c>
      <c r="R211">
        <f>SUM(R187:R190)</f>
        <v>12470</v>
      </c>
      <c r="S211">
        <f>SUM(S187:S190)</f>
        <v>55336</v>
      </c>
      <c r="T211">
        <f>SUM(T187:T190)</f>
        <v>2425</v>
      </c>
      <c r="U211">
        <f>SUM(U187:U190)</f>
        <v>21586</v>
      </c>
      <c r="V211">
        <f>SUM(V187:V190)</f>
        <v>19699</v>
      </c>
      <c r="W211">
        <f>SUM(W187:W190)</f>
        <v>14200</v>
      </c>
      <c r="X211">
        <f>SUM(X187:X190)</f>
        <v>22987</v>
      </c>
      <c r="Y211" s="10">
        <f>SUM(Y187:Y190)</f>
        <v>197352</v>
      </c>
      <c r="Z211">
        <f t="shared" ref="Z211:AA211" si="63">SUM(Z187:Z190)</f>
        <v>9074</v>
      </c>
      <c r="AA211" s="10">
        <f t="shared" si="63"/>
        <v>4283</v>
      </c>
      <c r="AC211" s="9">
        <f t="shared" si="47"/>
        <v>4.9946288864566868E-2</v>
      </c>
      <c r="AD211" s="9">
        <f t="shared" si="48"/>
        <v>4.0764724958449877E-2</v>
      </c>
      <c r="AE211" s="9">
        <f t="shared" si="49"/>
        <v>2.0506506141310957E-2</v>
      </c>
      <c r="AF211" s="9">
        <f t="shared" si="50"/>
        <v>0.13529125623251856</v>
      </c>
      <c r="AG211" s="9">
        <f t="shared" si="51"/>
        <v>6.3186590457659411E-2</v>
      </c>
      <c r="AH211" s="9">
        <f t="shared" si="52"/>
        <v>0.28039239531395677</v>
      </c>
      <c r="AI211" s="9">
        <f t="shared" si="53"/>
        <v>1.2287689002391666E-2</v>
      </c>
      <c r="AJ211" s="9">
        <f t="shared" si="54"/>
        <v>0.10937816693015526</v>
      </c>
      <c r="AK211" s="9">
        <f t="shared" si="55"/>
        <v>9.9816571405407603E-2</v>
      </c>
      <c r="AL211" s="9">
        <f t="shared" si="56"/>
        <v>7.1952653127406868E-2</v>
      </c>
      <c r="AM211" s="9">
        <f t="shared" si="57"/>
        <v>0.11647715756617617</v>
      </c>
      <c r="AN211" s="9">
        <f t="shared" si="58"/>
        <v>1</v>
      </c>
      <c r="AO211" s="9"/>
      <c r="AP211" s="9">
        <f t="shared" si="59"/>
        <v>0.89354512621672544</v>
      </c>
    </row>
    <row r="212" spans="1:42" x14ac:dyDescent="0.3">
      <c r="A212" s="1">
        <f>A194</f>
        <v>45107</v>
      </c>
      <c r="B212">
        <f>SUM(B191:B194)</f>
        <v>174880</v>
      </c>
      <c r="C212">
        <f>SUM(C191:C194)</f>
        <v>64901</v>
      </c>
      <c r="D212">
        <f>SUM(D191:D194)</f>
        <v>48921</v>
      </c>
      <c r="E212">
        <f>SUM(E191:E194)</f>
        <v>4622</v>
      </c>
      <c r="F212">
        <f>SUM(F191:F194)</f>
        <v>21007</v>
      </c>
      <c r="G212">
        <f>SUM(G191:G194)</f>
        <v>4737</v>
      </c>
      <c r="H212" s="10">
        <f>SUM(H191:H194)</f>
        <v>319068</v>
      </c>
      <c r="I212">
        <f>SUM(I191:I194)</f>
        <v>57731</v>
      </c>
      <c r="J212">
        <f>SUM(J191:J194)</f>
        <v>20936</v>
      </c>
      <c r="K212">
        <f>SUM(K191:K194)</f>
        <v>8676</v>
      </c>
      <c r="L212">
        <f>SUM(L191:L194)</f>
        <v>9152</v>
      </c>
      <c r="M212" s="10">
        <f>SUM(M191:M194)</f>
        <v>222573</v>
      </c>
      <c r="N212">
        <f>SUM(N191:N194)</f>
        <v>10400</v>
      </c>
      <c r="O212">
        <f>SUM(O191:O194)</f>
        <v>8655</v>
      </c>
      <c r="P212">
        <f>SUM(P191:P194)</f>
        <v>4094</v>
      </c>
      <c r="Q212">
        <f>SUM(Q191:Q194)</f>
        <v>28696</v>
      </c>
      <c r="R212">
        <f>SUM(R191:R194)</f>
        <v>12726</v>
      </c>
      <c r="S212">
        <f>SUM(S191:S194)</f>
        <v>59671</v>
      </c>
      <c r="T212">
        <f>SUM(T191:T194)</f>
        <v>2403</v>
      </c>
      <c r="U212">
        <f>SUM(U191:U194)</f>
        <v>24244</v>
      </c>
      <c r="V212">
        <f>SUM(V191:V194)</f>
        <v>21180</v>
      </c>
      <c r="W212">
        <f>SUM(W191:W194)</f>
        <v>15971</v>
      </c>
      <c r="X212">
        <f>SUM(X191:X194)</f>
        <v>30161</v>
      </c>
      <c r="Y212" s="10">
        <f>SUM(Y191:Y194)</f>
        <v>218201</v>
      </c>
      <c r="Z212">
        <f t="shared" ref="Z212:AA212" si="64">SUM(Z191:Z194)</f>
        <v>9594</v>
      </c>
      <c r="AA212" s="10">
        <f t="shared" si="64"/>
        <v>-5222</v>
      </c>
      <c r="AC212" s="9">
        <f t="shared" si="47"/>
        <v>4.7662476340621721E-2</v>
      </c>
      <c r="AD212" s="9">
        <f t="shared" si="48"/>
        <v>3.9665262762315481E-2</v>
      </c>
      <c r="AE212" s="9">
        <f t="shared" si="49"/>
        <v>1.8762517128702434E-2</v>
      </c>
      <c r="AF212" s="9">
        <f t="shared" si="50"/>
        <v>0.13151177125677702</v>
      </c>
      <c r="AG212" s="9">
        <f t="shared" si="51"/>
        <v>5.8322372491418466E-2</v>
      </c>
      <c r="AH212" s="9">
        <f t="shared" si="52"/>
        <v>0.27346804093473448</v>
      </c>
      <c r="AI212" s="9">
        <f t="shared" si="53"/>
        <v>1.1012781792934037E-2</v>
      </c>
      <c r="AJ212" s="9">
        <f t="shared" si="54"/>
        <v>0.11110856503865701</v>
      </c>
      <c r="AK212" s="9">
        <f t="shared" si="55"/>
        <v>9.706646623984308E-2</v>
      </c>
      <c r="AL212" s="9">
        <f t="shared" si="56"/>
        <v>7.3193981695775914E-2</v>
      </c>
      <c r="AM212" s="9">
        <f t="shared" si="57"/>
        <v>0.13822576431822037</v>
      </c>
      <c r="AN212" s="9">
        <f t="shared" si="58"/>
        <v>1</v>
      </c>
      <c r="AO212" s="9"/>
      <c r="AP212" s="9">
        <f t="shared" si="59"/>
        <v>0.93725204764279579</v>
      </c>
    </row>
    <row r="213" spans="1:42" x14ac:dyDescent="0.3">
      <c r="A213" s="1">
        <f>A198</f>
        <v>45473</v>
      </c>
      <c r="B213">
        <f>SUM(B195:B198)</f>
        <v>187576</v>
      </c>
      <c r="C213">
        <f>SUM(C195:C198)</f>
        <v>68558</v>
      </c>
      <c r="D213">
        <f>SUM(D195:D198)</f>
        <v>52865</v>
      </c>
      <c r="E213">
        <f>SUM(E195:E198)</f>
        <v>4549</v>
      </c>
      <c r="F213">
        <f>SUM(F195:F198)</f>
        <v>27023</v>
      </c>
      <c r="G213">
        <f>SUM(G195:G198)</f>
        <v>4712</v>
      </c>
      <c r="H213" s="10">
        <f>SUM(H195:H198)</f>
        <v>345283</v>
      </c>
      <c r="I213">
        <f>SUM(I195:I198)</f>
        <v>64487</v>
      </c>
      <c r="J213">
        <f>SUM(J195:J198)</f>
        <v>22891</v>
      </c>
      <c r="K213">
        <f>SUM(K195:K198)</f>
        <v>11980</v>
      </c>
      <c r="L213">
        <f>SUM(L195:L198)</f>
        <v>9743</v>
      </c>
      <c r="M213" s="10">
        <f>SUM(M195:M198)</f>
        <v>236182</v>
      </c>
      <c r="N213">
        <f>SUM(N195:N198)</f>
        <v>10520</v>
      </c>
      <c r="O213">
        <f>SUM(O195:O198)</f>
        <v>8269</v>
      </c>
      <c r="P213">
        <f>SUM(P195:P198)</f>
        <v>4006</v>
      </c>
      <c r="Q213">
        <f>SUM(Q195:Q198)</f>
        <v>30142</v>
      </c>
      <c r="R213">
        <f>SUM(R195:R198)</f>
        <v>12387</v>
      </c>
      <c r="S213">
        <f>SUM(S195:S198)</f>
        <v>64333</v>
      </c>
      <c r="T213">
        <f>SUM(T195:T198)</f>
        <v>2797</v>
      </c>
      <c r="U213">
        <f>SUM(U195:U198)</f>
        <v>26071</v>
      </c>
      <c r="V213">
        <f>SUM(V195:V198)</f>
        <v>21299</v>
      </c>
      <c r="W213">
        <f>SUM(W195:W198)</f>
        <v>15790</v>
      </c>
      <c r="X213">
        <f>SUM(X195:X198)</f>
        <v>30458</v>
      </c>
      <c r="Y213" s="10">
        <f>SUM(Y195:Y198)</f>
        <v>226072</v>
      </c>
      <c r="Z213">
        <f t="shared" ref="Z213:AA213" si="65">SUM(Z195:Z198)</f>
        <v>10081</v>
      </c>
      <c r="AA213" s="10">
        <f t="shared" si="65"/>
        <v>29</v>
      </c>
      <c r="AC213" s="9">
        <f t="shared" si="47"/>
        <v>4.6533847623765882E-2</v>
      </c>
      <c r="AD213" s="9">
        <f t="shared" si="48"/>
        <v>3.6576842775752856E-2</v>
      </c>
      <c r="AE213" s="9">
        <f t="shared" si="49"/>
        <v>1.772001840121731E-2</v>
      </c>
      <c r="AF213" s="9">
        <f t="shared" si="50"/>
        <v>0.13332920485509042</v>
      </c>
      <c r="AG213" s="9">
        <f t="shared" si="51"/>
        <v>5.4792278566120525E-2</v>
      </c>
      <c r="AH213" s="9">
        <f t="shared" si="52"/>
        <v>0.28456863300187552</v>
      </c>
      <c r="AI213" s="9">
        <f t="shared" si="53"/>
        <v>1.2372164620121024E-2</v>
      </c>
      <c r="AJ213" s="9">
        <f t="shared" si="54"/>
        <v>0.11532166743338405</v>
      </c>
      <c r="AK213" s="9">
        <f t="shared" si="55"/>
        <v>9.4213347959941962E-2</v>
      </c>
      <c r="AL213" s="9">
        <f t="shared" si="56"/>
        <v>6.9845005131108667E-2</v>
      </c>
      <c r="AM213" s="9">
        <f t="shared" si="57"/>
        <v>0.13472698963162177</v>
      </c>
      <c r="AN213" s="9">
        <f t="shared" si="58"/>
        <v>1</v>
      </c>
      <c r="AO213" s="9"/>
      <c r="AP213" s="9">
        <f t="shared" si="59"/>
        <v>0.91451084333268406</v>
      </c>
    </row>
    <row r="214" spans="1:42" x14ac:dyDescent="0.3">
      <c r="A214" s="1">
        <f>A202</f>
        <v>45838</v>
      </c>
      <c r="B214">
        <f>SUM(B199:B202)</f>
        <v>191251</v>
      </c>
      <c r="C214">
        <f>SUM(C199:C202)</f>
        <v>71294</v>
      </c>
      <c r="D214">
        <f>SUM(D199:D202)</f>
        <v>56959</v>
      </c>
      <c r="E214">
        <f>SUM(E199:E202)</f>
        <v>4509</v>
      </c>
      <c r="F214">
        <f>SUM(F199:F202)</f>
        <v>26277</v>
      </c>
      <c r="G214">
        <f>SUM(G199:G202)</f>
        <v>4056</v>
      </c>
      <c r="H214" s="10">
        <f>SUM(H199:H202)</f>
        <v>354346</v>
      </c>
      <c r="I214">
        <f>SUM(I199:I202)</f>
        <v>64466</v>
      </c>
      <c r="J214">
        <f>SUM(J199:J202)</f>
        <v>23649</v>
      </c>
      <c r="K214">
        <f>SUM(K199:K202)</f>
        <v>11578</v>
      </c>
      <c r="L214">
        <f>SUM(L199:L202)</f>
        <v>10149</v>
      </c>
      <c r="M214" s="10">
        <f>SUM(M199:M202)</f>
        <v>244504</v>
      </c>
      <c r="N214">
        <f>SUM(N199:N202)</f>
        <v>10605</v>
      </c>
      <c r="O214">
        <f>SUM(O199:O202)</f>
        <v>8217</v>
      </c>
      <c r="P214">
        <f>SUM(P199:P202)</f>
        <v>3960</v>
      </c>
      <c r="Q214">
        <f>SUM(Q199:Q202)</f>
        <v>30810</v>
      </c>
      <c r="R214">
        <f>SUM(R199:R202)</f>
        <v>12554</v>
      </c>
      <c r="S214">
        <f>SUM(S199:S202)</f>
        <v>68106</v>
      </c>
      <c r="T214">
        <f>SUM(T199:T202)</f>
        <v>2944</v>
      </c>
      <c r="U214">
        <f>SUM(U199:U202)</f>
        <v>27182</v>
      </c>
      <c r="V214">
        <f>SUM(V199:V202)</f>
        <v>22605</v>
      </c>
      <c r="W214">
        <f>SUM(W199:W202)</f>
        <v>15801</v>
      </c>
      <c r="X214">
        <f>SUM(X199:X202)</f>
        <v>30074</v>
      </c>
      <c r="Y214" s="10">
        <f>SUM(Y199:Y202)</f>
        <v>232858</v>
      </c>
      <c r="Z214">
        <f t="shared" ref="Z214:AA214" si="66">SUM(Z199:Z202)</f>
        <v>10529</v>
      </c>
      <c r="AA214" s="10">
        <f t="shared" si="66"/>
        <v>1117</v>
      </c>
      <c r="AC214" s="9">
        <f t="shared" si="47"/>
        <v>4.5542777143151622E-2</v>
      </c>
      <c r="AD214" s="9">
        <f t="shared" si="48"/>
        <v>3.5287600168342939E-2</v>
      </c>
      <c r="AE214" s="9">
        <f t="shared" si="49"/>
        <v>1.7006072370285754E-2</v>
      </c>
      <c r="AF214" s="9">
        <f t="shared" si="50"/>
        <v>0.13231239639608688</v>
      </c>
      <c r="AG214" s="9">
        <f t="shared" si="51"/>
        <v>5.3912684983981655E-2</v>
      </c>
      <c r="AH214" s="9">
        <f t="shared" si="52"/>
        <v>0.29247867799259636</v>
      </c>
      <c r="AI214" s="9">
        <f t="shared" si="53"/>
        <v>1.2642898247000317E-2</v>
      </c>
      <c r="AJ214" s="9">
        <f t="shared" si="54"/>
        <v>0.11673208564876449</v>
      </c>
      <c r="AK214" s="9">
        <f t="shared" si="55"/>
        <v>9.7076329780381179E-2</v>
      </c>
      <c r="AL214" s="9">
        <f t="shared" si="56"/>
        <v>6.7856805435072012E-2</v>
      </c>
      <c r="AM214" s="9">
        <f t="shared" si="57"/>
        <v>0.12915167183433682</v>
      </c>
      <c r="AN214" s="9">
        <f t="shared" si="58"/>
        <v>1</v>
      </c>
      <c r="AO214" s="9"/>
      <c r="AP214" s="9">
        <f t="shared" si="59"/>
        <v>0.90930618721984102</v>
      </c>
    </row>
    <row r="215" spans="1:42" x14ac:dyDescent="0.3">
      <c r="A215" s="1"/>
    </row>
    <row r="216" spans="1:42" x14ac:dyDescent="0.3">
      <c r="A216" s="1">
        <f>A207</f>
        <v>43281</v>
      </c>
      <c r="B216">
        <f>B207-B206</f>
        <v>7614</v>
      </c>
      <c r="C216">
        <f t="shared" ref="C216:Y216" si="67">C207-C206</f>
        <v>3587</v>
      </c>
      <c r="D216">
        <f t="shared" si="67"/>
        <v>975</v>
      </c>
      <c r="E216">
        <f t="shared" si="67"/>
        <v>233</v>
      </c>
      <c r="F216">
        <f t="shared" si="67"/>
        <v>989</v>
      </c>
      <c r="G216">
        <f t="shared" si="67"/>
        <v>190</v>
      </c>
      <c r="H216" s="10">
        <f t="shared" si="67"/>
        <v>13588</v>
      </c>
      <c r="I216">
        <f t="shared" si="67"/>
        <v>1882</v>
      </c>
      <c r="J216">
        <f t="shared" si="67"/>
        <v>687</v>
      </c>
      <c r="K216">
        <f t="shared" si="67"/>
        <v>-81</v>
      </c>
      <c r="L216">
        <f t="shared" si="67"/>
        <v>416</v>
      </c>
      <c r="M216" s="10">
        <f t="shared" si="67"/>
        <v>10684</v>
      </c>
      <c r="N216">
        <f t="shared" si="67"/>
        <v>360</v>
      </c>
      <c r="O216">
        <f t="shared" si="67"/>
        <v>272</v>
      </c>
      <c r="P216">
        <f t="shared" si="67"/>
        <v>-8</v>
      </c>
      <c r="Q216">
        <f t="shared" si="67"/>
        <v>1282</v>
      </c>
      <c r="R216">
        <f t="shared" si="67"/>
        <v>473</v>
      </c>
      <c r="S216">
        <f t="shared" si="67"/>
        <v>2634</v>
      </c>
      <c r="T216">
        <f t="shared" si="67"/>
        <v>183</v>
      </c>
      <c r="U216">
        <f t="shared" si="67"/>
        <v>1283</v>
      </c>
      <c r="V216">
        <f t="shared" si="67"/>
        <v>590</v>
      </c>
      <c r="W216">
        <f t="shared" si="67"/>
        <v>547</v>
      </c>
      <c r="X216">
        <f t="shared" si="67"/>
        <v>1754</v>
      </c>
      <c r="Y216" s="10">
        <f t="shared" si="67"/>
        <v>9370</v>
      </c>
      <c r="Z216">
        <f t="shared" ref="Z216:AA216" si="68">Z207-Z206</f>
        <v>49</v>
      </c>
      <c r="AA216" s="10">
        <f t="shared" si="68"/>
        <v>1265</v>
      </c>
    </row>
    <row r="217" spans="1:42" x14ac:dyDescent="0.3">
      <c r="A217" s="1">
        <f t="shared" ref="A217:A223" si="69">A208</f>
        <v>43646</v>
      </c>
      <c r="B217">
        <f t="shared" ref="B217:Y217" si="70">B208-B207</f>
        <v>7836</v>
      </c>
      <c r="C217">
        <f t="shared" si="70"/>
        <v>3005</v>
      </c>
      <c r="D217">
        <f t="shared" si="70"/>
        <v>2812</v>
      </c>
      <c r="E217">
        <f t="shared" si="70"/>
        <v>-184</v>
      </c>
      <c r="F217">
        <f t="shared" si="70"/>
        <v>1058</v>
      </c>
      <c r="G217">
        <f t="shared" si="70"/>
        <v>794</v>
      </c>
      <c r="H217" s="10">
        <f t="shared" si="70"/>
        <v>15321</v>
      </c>
      <c r="I217">
        <f t="shared" si="70"/>
        <v>3116</v>
      </c>
      <c r="J217">
        <f t="shared" si="70"/>
        <v>603</v>
      </c>
      <c r="K217">
        <f t="shared" si="70"/>
        <v>238</v>
      </c>
      <c r="L217">
        <f t="shared" si="70"/>
        <v>364</v>
      </c>
      <c r="M217" s="10">
        <f t="shared" si="70"/>
        <v>11000</v>
      </c>
      <c r="N217">
        <f t="shared" si="70"/>
        <v>446</v>
      </c>
      <c r="O217">
        <f t="shared" si="70"/>
        <v>399</v>
      </c>
      <c r="P217">
        <f t="shared" si="70"/>
        <v>-44</v>
      </c>
      <c r="Q217">
        <f t="shared" si="70"/>
        <v>486</v>
      </c>
      <c r="R217">
        <f t="shared" si="70"/>
        <v>541</v>
      </c>
      <c r="S217">
        <f t="shared" si="70"/>
        <v>2682</v>
      </c>
      <c r="T217">
        <f t="shared" si="70"/>
        <v>287</v>
      </c>
      <c r="U217">
        <f t="shared" si="70"/>
        <v>1513</v>
      </c>
      <c r="V217">
        <f t="shared" si="70"/>
        <v>864</v>
      </c>
      <c r="W217">
        <f t="shared" si="70"/>
        <v>647</v>
      </c>
      <c r="X217">
        <f t="shared" si="70"/>
        <v>1341</v>
      </c>
      <c r="Y217" s="10">
        <f t="shared" si="70"/>
        <v>9162</v>
      </c>
      <c r="Z217">
        <f t="shared" ref="Z217:AA217" si="71">Z208-Z207</f>
        <v>574</v>
      </c>
      <c r="AA217" s="10">
        <f t="shared" si="71"/>
        <v>1264</v>
      </c>
    </row>
    <row r="218" spans="1:42" x14ac:dyDescent="0.3">
      <c r="A218" s="1">
        <f t="shared" si="69"/>
        <v>44012</v>
      </c>
      <c r="B218">
        <f t="shared" ref="B218:Y218" si="72">B209-B208</f>
        <v>7192</v>
      </c>
      <c r="C218">
        <f t="shared" si="72"/>
        <v>4781</v>
      </c>
      <c r="D218">
        <f t="shared" si="72"/>
        <v>3100</v>
      </c>
      <c r="E218">
        <f t="shared" si="72"/>
        <v>112</v>
      </c>
      <c r="F218">
        <f t="shared" si="72"/>
        <v>-843</v>
      </c>
      <c r="G218">
        <f t="shared" si="72"/>
        <v>921</v>
      </c>
      <c r="H218" s="10">
        <f t="shared" si="72"/>
        <v>15263</v>
      </c>
      <c r="I218">
        <f t="shared" si="72"/>
        <v>1625</v>
      </c>
      <c r="J218">
        <f t="shared" si="72"/>
        <v>1863</v>
      </c>
      <c r="K218">
        <f t="shared" si="72"/>
        <v>-775</v>
      </c>
      <c r="L218">
        <f t="shared" si="72"/>
        <v>391</v>
      </c>
      <c r="M218" s="10">
        <f t="shared" si="72"/>
        <v>12159</v>
      </c>
      <c r="N218">
        <f t="shared" si="72"/>
        <v>401</v>
      </c>
      <c r="O218">
        <f t="shared" si="72"/>
        <v>-222</v>
      </c>
      <c r="P218">
        <f t="shared" si="72"/>
        <v>61</v>
      </c>
      <c r="Q218">
        <f t="shared" si="72"/>
        <v>1126</v>
      </c>
      <c r="R218">
        <f t="shared" si="72"/>
        <v>172</v>
      </c>
      <c r="S218">
        <f t="shared" si="72"/>
        <v>2551</v>
      </c>
      <c r="T218">
        <f t="shared" si="72"/>
        <v>243</v>
      </c>
      <c r="U218">
        <f t="shared" si="72"/>
        <v>556</v>
      </c>
      <c r="V218">
        <f t="shared" si="72"/>
        <v>206</v>
      </c>
      <c r="W218">
        <f t="shared" si="72"/>
        <v>-805</v>
      </c>
      <c r="X218">
        <f t="shared" si="72"/>
        <v>-3272</v>
      </c>
      <c r="Y218" s="10">
        <f t="shared" si="72"/>
        <v>1017</v>
      </c>
      <c r="Z218">
        <f t="shared" ref="Z218:AA218" si="73">Z209-Z208</f>
        <v>-10</v>
      </c>
      <c r="AA218" s="10">
        <f t="shared" si="73"/>
        <v>11152</v>
      </c>
    </row>
    <row r="219" spans="1:42" x14ac:dyDescent="0.3">
      <c r="A219" s="1">
        <f t="shared" si="69"/>
        <v>44377</v>
      </c>
      <c r="B219">
        <f t="shared" ref="B219:Y219" si="74">B210-B209</f>
        <v>8566</v>
      </c>
      <c r="C219">
        <f t="shared" si="74"/>
        <v>5729</v>
      </c>
      <c r="D219">
        <f t="shared" si="74"/>
        <v>3790</v>
      </c>
      <c r="E219">
        <f t="shared" si="74"/>
        <v>893</v>
      </c>
      <c r="F219">
        <f t="shared" si="74"/>
        <v>1238</v>
      </c>
      <c r="G219">
        <f t="shared" si="74"/>
        <v>1105</v>
      </c>
      <c r="H219" s="10">
        <f t="shared" si="74"/>
        <v>21321</v>
      </c>
      <c r="I219">
        <f t="shared" si="74"/>
        <v>5243</v>
      </c>
      <c r="J219">
        <f t="shared" si="74"/>
        <v>1452</v>
      </c>
      <c r="K219">
        <f t="shared" si="74"/>
        <v>-1229</v>
      </c>
      <c r="L219">
        <f t="shared" si="74"/>
        <v>427</v>
      </c>
      <c r="M219" s="10">
        <f t="shared" si="74"/>
        <v>15428</v>
      </c>
      <c r="N219">
        <f t="shared" si="74"/>
        <v>354</v>
      </c>
      <c r="O219">
        <f t="shared" si="74"/>
        <v>1430</v>
      </c>
      <c r="P219">
        <f t="shared" si="74"/>
        <v>91</v>
      </c>
      <c r="Q219">
        <f t="shared" si="74"/>
        <v>772</v>
      </c>
      <c r="R219">
        <f t="shared" si="74"/>
        <v>2362</v>
      </c>
      <c r="S219">
        <f t="shared" si="74"/>
        <v>2738</v>
      </c>
      <c r="T219">
        <f t="shared" si="74"/>
        <v>-165</v>
      </c>
      <c r="U219">
        <f t="shared" si="74"/>
        <v>1344</v>
      </c>
      <c r="V219">
        <f t="shared" si="74"/>
        <v>2649</v>
      </c>
      <c r="W219">
        <f t="shared" si="74"/>
        <v>4147</v>
      </c>
      <c r="X219">
        <f t="shared" si="74"/>
        <v>52</v>
      </c>
      <c r="Y219" s="10">
        <f t="shared" si="74"/>
        <v>15774</v>
      </c>
      <c r="Z219">
        <f t="shared" ref="Z219:AA219" si="75">Z210-Z209</f>
        <v>1117</v>
      </c>
      <c r="AA219" s="10">
        <f t="shared" si="75"/>
        <v>-1463</v>
      </c>
    </row>
    <row r="220" spans="1:42" x14ac:dyDescent="0.3">
      <c r="A220" s="1">
        <f t="shared" si="69"/>
        <v>44742</v>
      </c>
      <c r="B220">
        <f t="shared" ref="B220:Y220" si="76">B211-B210</f>
        <v>13307</v>
      </c>
      <c r="C220">
        <f t="shared" si="76"/>
        <v>5662</v>
      </c>
      <c r="D220">
        <f t="shared" si="76"/>
        <v>2485</v>
      </c>
      <c r="E220">
        <f t="shared" si="76"/>
        <v>-1526</v>
      </c>
      <c r="F220">
        <f t="shared" si="76"/>
        <v>-3165</v>
      </c>
      <c r="G220">
        <f t="shared" si="76"/>
        <v>-632</v>
      </c>
      <c r="H220" s="10">
        <f t="shared" si="76"/>
        <v>16131</v>
      </c>
      <c r="I220">
        <f t="shared" si="76"/>
        <v>6135</v>
      </c>
      <c r="J220">
        <f t="shared" si="76"/>
        <v>688</v>
      </c>
      <c r="K220">
        <f t="shared" si="76"/>
        <v>-119</v>
      </c>
      <c r="L220">
        <f t="shared" si="76"/>
        <v>1095</v>
      </c>
      <c r="M220" s="10">
        <f t="shared" si="76"/>
        <v>8332</v>
      </c>
      <c r="N220">
        <f t="shared" si="76"/>
        <v>87</v>
      </c>
      <c r="O220">
        <f t="shared" si="76"/>
        <v>280</v>
      </c>
      <c r="P220">
        <f t="shared" si="76"/>
        <v>86</v>
      </c>
      <c r="Q220">
        <f t="shared" si="76"/>
        <v>1995</v>
      </c>
      <c r="R220">
        <f t="shared" si="76"/>
        <v>265</v>
      </c>
      <c r="S220">
        <f t="shared" si="76"/>
        <v>3793</v>
      </c>
      <c r="T220">
        <f t="shared" si="76"/>
        <v>399</v>
      </c>
      <c r="U220">
        <f t="shared" si="76"/>
        <v>1645</v>
      </c>
      <c r="V220">
        <f t="shared" si="76"/>
        <v>1294</v>
      </c>
      <c r="W220">
        <f t="shared" si="76"/>
        <v>-299</v>
      </c>
      <c r="X220">
        <f t="shared" si="76"/>
        <v>1912</v>
      </c>
      <c r="Y220" s="10">
        <f t="shared" si="76"/>
        <v>11457</v>
      </c>
      <c r="Z220">
        <f t="shared" ref="Z220:AA220" si="77">Z211-Z210</f>
        <v>1053</v>
      </c>
      <c r="AA220" s="10">
        <f t="shared" si="77"/>
        <v>-4178</v>
      </c>
    </row>
    <row r="221" spans="1:42" x14ac:dyDescent="0.3">
      <c r="A221" s="1">
        <f t="shared" si="69"/>
        <v>45107</v>
      </c>
      <c r="B221">
        <f t="shared" ref="B221:Y221" si="78">B212-B211</f>
        <v>13491</v>
      </c>
      <c r="C221">
        <f t="shared" si="78"/>
        <v>-2252</v>
      </c>
      <c r="D221">
        <f t="shared" si="78"/>
        <v>4608</v>
      </c>
      <c r="E221">
        <f t="shared" si="78"/>
        <v>256</v>
      </c>
      <c r="F221">
        <f t="shared" si="78"/>
        <v>6035</v>
      </c>
      <c r="G221">
        <f t="shared" si="78"/>
        <v>-1398</v>
      </c>
      <c r="H221" s="10">
        <f t="shared" si="78"/>
        <v>20740</v>
      </c>
      <c r="I221">
        <f t="shared" si="78"/>
        <v>4122</v>
      </c>
      <c r="J221">
        <f t="shared" si="78"/>
        <v>-213</v>
      </c>
      <c r="K221">
        <f t="shared" si="78"/>
        <v>3731</v>
      </c>
      <c r="L221">
        <f t="shared" si="78"/>
        <v>1236</v>
      </c>
      <c r="M221" s="10">
        <f t="shared" si="78"/>
        <v>11864</v>
      </c>
      <c r="N221">
        <f t="shared" si="78"/>
        <v>543</v>
      </c>
      <c r="O221">
        <f t="shared" si="78"/>
        <v>610</v>
      </c>
      <c r="P221">
        <f t="shared" si="78"/>
        <v>47</v>
      </c>
      <c r="Q221">
        <f t="shared" si="78"/>
        <v>1996</v>
      </c>
      <c r="R221">
        <f t="shared" si="78"/>
        <v>256</v>
      </c>
      <c r="S221">
        <f t="shared" si="78"/>
        <v>4335</v>
      </c>
      <c r="T221">
        <f t="shared" si="78"/>
        <v>-22</v>
      </c>
      <c r="U221">
        <f t="shared" si="78"/>
        <v>2658</v>
      </c>
      <c r="V221">
        <f t="shared" si="78"/>
        <v>1481</v>
      </c>
      <c r="W221">
        <f t="shared" si="78"/>
        <v>1771</v>
      </c>
      <c r="X221">
        <f t="shared" si="78"/>
        <v>7174</v>
      </c>
      <c r="Y221" s="10">
        <f t="shared" si="78"/>
        <v>20849</v>
      </c>
      <c r="Z221">
        <f t="shared" ref="Z221:AA221" si="79">Z212-Z211</f>
        <v>520</v>
      </c>
      <c r="AA221" s="10">
        <f t="shared" si="79"/>
        <v>-9505</v>
      </c>
    </row>
    <row r="222" spans="1:42" x14ac:dyDescent="0.3">
      <c r="A222" s="1">
        <f t="shared" si="69"/>
        <v>45473</v>
      </c>
      <c r="B222">
        <f t="shared" ref="B222:Y222" si="80">B213-B212</f>
        <v>12696</v>
      </c>
      <c r="C222">
        <f t="shared" si="80"/>
        <v>3657</v>
      </c>
      <c r="D222">
        <f t="shared" si="80"/>
        <v>3944</v>
      </c>
      <c r="E222">
        <f t="shared" si="80"/>
        <v>-73</v>
      </c>
      <c r="F222">
        <f t="shared" si="80"/>
        <v>6016</v>
      </c>
      <c r="G222">
        <f t="shared" si="80"/>
        <v>-25</v>
      </c>
      <c r="H222" s="10">
        <f t="shared" si="80"/>
        <v>26215</v>
      </c>
      <c r="I222">
        <f t="shared" si="80"/>
        <v>6756</v>
      </c>
      <c r="J222">
        <f t="shared" si="80"/>
        <v>1955</v>
      </c>
      <c r="K222">
        <f t="shared" si="80"/>
        <v>3304</v>
      </c>
      <c r="L222">
        <f t="shared" si="80"/>
        <v>591</v>
      </c>
      <c r="M222" s="10">
        <f t="shared" si="80"/>
        <v>13609</v>
      </c>
      <c r="N222">
        <f t="shared" si="80"/>
        <v>120</v>
      </c>
      <c r="O222">
        <f t="shared" si="80"/>
        <v>-386</v>
      </c>
      <c r="P222">
        <f t="shared" si="80"/>
        <v>-88</v>
      </c>
      <c r="Q222">
        <f t="shared" si="80"/>
        <v>1446</v>
      </c>
      <c r="R222">
        <f t="shared" si="80"/>
        <v>-339</v>
      </c>
      <c r="S222">
        <f t="shared" si="80"/>
        <v>4662</v>
      </c>
      <c r="T222">
        <f t="shared" si="80"/>
        <v>394</v>
      </c>
      <c r="U222">
        <f t="shared" si="80"/>
        <v>1827</v>
      </c>
      <c r="V222">
        <f t="shared" si="80"/>
        <v>119</v>
      </c>
      <c r="W222">
        <f t="shared" si="80"/>
        <v>-181</v>
      </c>
      <c r="X222">
        <f t="shared" si="80"/>
        <v>297</v>
      </c>
      <c r="Y222" s="10">
        <f t="shared" si="80"/>
        <v>7871</v>
      </c>
      <c r="Z222">
        <f t="shared" ref="Z222:AA222" si="81">Z213-Z212</f>
        <v>487</v>
      </c>
      <c r="AA222" s="10">
        <f t="shared" si="81"/>
        <v>5251</v>
      </c>
    </row>
    <row r="223" spans="1:42" x14ac:dyDescent="0.3">
      <c r="A223" s="1">
        <f t="shared" si="69"/>
        <v>45838</v>
      </c>
      <c r="B223">
        <f t="shared" ref="B223:Y223" si="82">B214-B213</f>
        <v>3675</v>
      </c>
      <c r="C223">
        <f t="shared" si="82"/>
        <v>2736</v>
      </c>
      <c r="D223">
        <f t="shared" si="82"/>
        <v>4094</v>
      </c>
      <c r="E223">
        <f t="shared" si="82"/>
        <v>-40</v>
      </c>
      <c r="F223">
        <f t="shared" si="82"/>
        <v>-746</v>
      </c>
      <c r="G223">
        <f t="shared" si="82"/>
        <v>-656</v>
      </c>
      <c r="H223" s="10">
        <f t="shared" si="82"/>
        <v>9063</v>
      </c>
      <c r="I223">
        <f t="shared" si="82"/>
        <v>-21</v>
      </c>
      <c r="J223">
        <f t="shared" si="82"/>
        <v>758</v>
      </c>
      <c r="K223">
        <f t="shared" si="82"/>
        <v>-402</v>
      </c>
      <c r="L223">
        <f t="shared" si="82"/>
        <v>406</v>
      </c>
      <c r="M223" s="10">
        <f t="shared" si="82"/>
        <v>8322</v>
      </c>
      <c r="N223">
        <f t="shared" si="82"/>
        <v>85</v>
      </c>
      <c r="O223">
        <f t="shared" si="82"/>
        <v>-52</v>
      </c>
      <c r="P223">
        <f t="shared" si="82"/>
        <v>-46</v>
      </c>
      <c r="Q223">
        <f t="shared" si="82"/>
        <v>668</v>
      </c>
      <c r="R223">
        <f t="shared" si="82"/>
        <v>167</v>
      </c>
      <c r="S223">
        <f t="shared" si="82"/>
        <v>3773</v>
      </c>
      <c r="T223">
        <f t="shared" si="82"/>
        <v>147</v>
      </c>
      <c r="U223">
        <f t="shared" si="82"/>
        <v>1111</v>
      </c>
      <c r="V223">
        <f t="shared" si="82"/>
        <v>1306</v>
      </c>
      <c r="W223">
        <f t="shared" si="82"/>
        <v>11</v>
      </c>
      <c r="X223">
        <f t="shared" si="82"/>
        <v>-384</v>
      </c>
      <c r="Y223" s="10">
        <f t="shared" si="82"/>
        <v>6786</v>
      </c>
      <c r="Z223">
        <f t="shared" ref="Z223:AA223" si="83">Z214-Z213</f>
        <v>448</v>
      </c>
      <c r="AA223" s="10">
        <f t="shared" si="83"/>
        <v>1088</v>
      </c>
    </row>
    <row r="224" spans="1:42" x14ac:dyDescent="0.3">
      <c r="A224" s="1"/>
    </row>
    <row r="225" spans="1:27" x14ac:dyDescent="0.3">
      <c r="A225" s="1"/>
      <c r="B225" s="14">
        <f>((B214/B206)^(1/8))-1</f>
        <v>6.3495669538299992E-2</v>
      </c>
      <c r="C225" s="14">
        <f t="shared" ref="C225:AA225" si="84">((C214/C206)^(1/8))-1</f>
        <v>6.1016658408488356E-2</v>
      </c>
      <c r="D225" s="14">
        <f t="shared" si="84"/>
        <v>7.8353855431120945E-2</v>
      </c>
      <c r="E225" s="14">
        <f t="shared" si="84"/>
        <v>-8.7646164291130813E-3</v>
      </c>
      <c r="F225" s="14">
        <f t="shared" si="84"/>
        <v>6.6539163948326152E-2</v>
      </c>
      <c r="G225" s="14">
        <f t="shared" si="84"/>
        <v>9.618021174865321E-3</v>
      </c>
      <c r="H225" s="14">
        <f t="shared" si="84"/>
        <v>6.3396130978048193E-2</v>
      </c>
      <c r="I225" s="14">
        <f t="shared" si="84"/>
        <v>7.7017829334440124E-2</v>
      </c>
      <c r="J225" s="14">
        <f t="shared" si="84"/>
        <v>5.1241247686107494E-2</v>
      </c>
      <c r="K225" s="14">
        <f t="shared" si="84"/>
        <v>6.6624565023835292E-2</v>
      </c>
      <c r="L225" s="14">
        <f t="shared" si="84"/>
        <v>8.658299320371543E-2</v>
      </c>
      <c r="M225" s="14">
        <f t="shared" si="84"/>
        <v>6.0258394794700854E-2</v>
      </c>
      <c r="N225" s="14">
        <f t="shared" si="84"/>
        <v>3.2529698718424482E-2</v>
      </c>
      <c r="O225" s="14">
        <f t="shared" si="84"/>
        <v>4.2585375333793696E-2</v>
      </c>
      <c r="P225" s="14">
        <f t="shared" si="84"/>
        <v>3.1697390302536377E-3</v>
      </c>
      <c r="Q225" s="14">
        <f t="shared" si="84"/>
        <v>4.8837787194105253E-2</v>
      </c>
      <c r="R225" s="14">
        <f t="shared" si="84"/>
        <v>4.7555010271653986E-2</v>
      </c>
      <c r="S225" s="14">
        <f t="shared" si="84"/>
        <v>6.5693566652509361E-2</v>
      </c>
      <c r="T225" s="14">
        <f t="shared" si="84"/>
        <v>8.9953377393285905E-2</v>
      </c>
      <c r="U225" s="14">
        <f t="shared" si="84"/>
        <v>7.496480997474908E-2</v>
      </c>
      <c r="V225" s="14">
        <f t="shared" si="84"/>
        <v>6.0812375359291071E-2</v>
      </c>
      <c r="W225" s="14">
        <f t="shared" si="84"/>
        <v>5.9343498021152685E-2</v>
      </c>
      <c r="X225" s="14">
        <f t="shared" si="84"/>
        <v>4.4676719972829293E-2</v>
      </c>
      <c r="Y225" s="14">
        <f t="shared" si="84"/>
        <v>5.6010819876646911E-2</v>
      </c>
      <c r="Z225" s="14">
        <f t="shared" si="84"/>
        <v>6.6494033329475899E-2</v>
      </c>
      <c r="AA225" s="14" t="e">
        <f t="shared" si="84"/>
        <v>#NUM!</v>
      </c>
    </row>
    <row r="226" spans="1:27" x14ac:dyDescent="0.3">
      <c r="A226" s="1"/>
    </row>
    <row r="227" spans="1:27" x14ac:dyDescent="0.3">
      <c r="A227" s="1"/>
    </row>
    <row r="228" spans="1:27" x14ac:dyDescent="0.3">
      <c r="A228" s="1"/>
    </row>
    <row r="229" spans="1:27" x14ac:dyDescent="0.3">
      <c r="A229" s="1"/>
    </row>
    <row r="230" spans="1:27" x14ac:dyDescent="0.3">
      <c r="A230" s="1"/>
    </row>
    <row r="231" spans="1:27" x14ac:dyDescent="0.3">
      <c r="A231" s="1"/>
      <c r="B231" t="s">
        <v>37</v>
      </c>
      <c r="C231" t="s">
        <v>2</v>
      </c>
    </row>
    <row r="232" spans="1:27" x14ac:dyDescent="0.3">
      <c r="A232" s="1"/>
      <c r="B232" t="s">
        <v>38</v>
      </c>
      <c r="C232">
        <v>7292</v>
      </c>
      <c r="D232" t="s">
        <v>36</v>
      </c>
      <c r="M232" s="10" t="s">
        <v>37</v>
      </c>
      <c r="N232" t="s">
        <v>0</v>
      </c>
      <c r="O232" t="s">
        <v>2</v>
      </c>
    </row>
    <row r="233" spans="1:27" x14ac:dyDescent="0.3">
      <c r="A233" s="1"/>
      <c r="B233" t="s">
        <v>39</v>
      </c>
      <c r="C233">
        <v>11104</v>
      </c>
      <c r="D233" t="s">
        <v>36</v>
      </c>
      <c r="L233">
        <v>1</v>
      </c>
      <c r="M233" s="10" t="s">
        <v>69</v>
      </c>
      <c r="N233" s="1">
        <v>42551</v>
      </c>
      <c r="O233">
        <v>37603</v>
      </c>
    </row>
    <row r="234" spans="1:27" x14ac:dyDescent="0.3">
      <c r="A234" s="1"/>
      <c r="B234" t="s">
        <v>40</v>
      </c>
      <c r="C234">
        <v>2594</v>
      </c>
      <c r="L234">
        <v>2</v>
      </c>
      <c r="M234" s="10" t="s">
        <v>69</v>
      </c>
      <c r="N234" s="1">
        <v>42643</v>
      </c>
      <c r="O234">
        <v>38165</v>
      </c>
    </row>
    <row r="235" spans="1:27" x14ac:dyDescent="0.3">
      <c r="A235" s="1"/>
      <c r="B235" t="s">
        <v>41</v>
      </c>
      <c r="C235">
        <v>73165</v>
      </c>
      <c r="L235">
        <v>3</v>
      </c>
      <c r="M235" s="10" t="s">
        <v>69</v>
      </c>
      <c r="N235" s="1">
        <v>42735</v>
      </c>
      <c r="O235">
        <v>38771</v>
      </c>
    </row>
    <row r="236" spans="1:27" x14ac:dyDescent="0.3">
      <c r="A236" s="1"/>
      <c r="B236" t="s">
        <v>42</v>
      </c>
      <c r="C236">
        <v>70571</v>
      </c>
      <c r="G236" s="8" t="str">
        <f>B235</f>
        <v>Primary income receivable</v>
      </c>
      <c r="H236" s="10">
        <f>C235</f>
        <v>73165</v>
      </c>
      <c r="L236">
        <v>4</v>
      </c>
      <c r="M236" s="10" t="s">
        <v>69</v>
      </c>
      <c r="N236" s="1">
        <v>42825</v>
      </c>
      <c r="O236">
        <v>39802</v>
      </c>
    </row>
    <row r="237" spans="1:27" x14ac:dyDescent="0.3">
      <c r="A237" s="1"/>
      <c r="B237" t="s">
        <v>43</v>
      </c>
      <c r="C237">
        <v>22010</v>
      </c>
      <c r="G237" s="8" t="str">
        <f>B238</f>
        <v>Secondary income receivable</v>
      </c>
      <c r="H237" s="10">
        <f>C238</f>
        <v>15809</v>
      </c>
      <c r="L237">
        <v>5</v>
      </c>
      <c r="M237" s="10" t="s">
        <v>69</v>
      </c>
      <c r="N237" s="1">
        <v>42916</v>
      </c>
      <c r="O237">
        <v>40125</v>
      </c>
    </row>
    <row r="238" spans="1:27" x14ac:dyDescent="0.3">
      <c r="A238" s="1"/>
      <c r="B238" t="s">
        <v>44</v>
      </c>
      <c r="C238">
        <v>15809</v>
      </c>
      <c r="G238" t="str">
        <f>B241</f>
        <v>Total income receivable</v>
      </c>
      <c r="H238" s="10">
        <f>SUM(H236:H237)</f>
        <v>88974</v>
      </c>
      <c r="I238">
        <f>H202-H238</f>
        <v>965</v>
      </c>
      <c r="L238">
        <v>6</v>
      </c>
      <c r="M238" s="10" t="s">
        <v>69</v>
      </c>
      <c r="N238" s="1">
        <v>43008</v>
      </c>
      <c r="O238">
        <v>40617</v>
      </c>
    </row>
    <row r="239" spans="1:27" x14ac:dyDescent="0.3">
      <c r="A239" s="1"/>
      <c r="B239" t="s">
        <v>45</v>
      </c>
      <c r="C239">
        <v>-6201</v>
      </c>
      <c r="L239">
        <v>7</v>
      </c>
      <c r="M239" s="10" t="s">
        <v>69</v>
      </c>
      <c r="N239" s="1">
        <v>43100</v>
      </c>
      <c r="O239">
        <v>41352</v>
      </c>
    </row>
    <row r="240" spans="1:27" x14ac:dyDescent="0.3">
      <c r="A240" s="1"/>
      <c r="B240" t="s">
        <v>14</v>
      </c>
      <c r="C240">
        <v>24604</v>
      </c>
      <c r="L240">
        <v>8</v>
      </c>
      <c r="M240" s="10" t="s">
        <v>69</v>
      </c>
      <c r="N240" s="1">
        <v>43190</v>
      </c>
      <c r="O240">
        <v>41758</v>
      </c>
    </row>
    <row r="241" spans="1:15" x14ac:dyDescent="0.3">
      <c r="A241" s="1"/>
      <c r="B241" t="s">
        <v>15</v>
      </c>
      <c r="C241">
        <v>88974</v>
      </c>
      <c r="G241" s="8" t="str">
        <f>B234</f>
        <v>Primary income payable</v>
      </c>
      <c r="H241" s="10">
        <f>C234</f>
        <v>2594</v>
      </c>
      <c r="L241">
        <v>9</v>
      </c>
      <c r="M241" s="10" t="s">
        <v>69</v>
      </c>
      <c r="N241" s="1">
        <v>43281</v>
      </c>
      <c r="O241">
        <v>42555</v>
      </c>
    </row>
    <row r="242" spans="1:15" x14ac:dyDescent="0.3">
      <c r="A242" s="1"/>
      <c r="B242" t="s">
        <v>46</v>
      </c>
      <c r="C242">
        <v>65335</v>
      </c>
      <c r="G242" s="8" t="str">
        <f>B237</f>
        <v>Secondary income payable</v>
      </c>
      <c r="H242" s="10">
        <f>C237</f>
        <v>22010</v>
      </c>
      <c r="L242">
        <v>10</v>
      </c>
      <c r="M242" s="10" t="s">
        <v>69</v>
      </c>
      <c r="N242" s="1">
        <v>43373</v>
      </c>
      <c r="O242">
        <v>43320</v>
      </c>
    </row>
    <row r="243" spans="1:15" x14ac:dyDescent="0.3">
      <c r="A243" s="1"/>
      <c r="B243" t="s">
        <v>47</v>
      </c>
      <c r="C243">
        <v>62766</v>
      </c>
      <c r="G243" t="str">
        <f>B240</f>
        <v>Total income payable</v>
      </c>
      <c r="H243" s="10">
        <f>SUM(H241:H242)</f>
        <v>24604</v>
      </c>
      <c r="I243">
        <f>I202+J202+K202</f>
        <v>24604</v>
      </c>
      <c r="L243">
        <v>11</v>
      </c>
      <c r="M243" s="10" t="s">
        <v>69</v>
      </c>
      <c r="N243" s="1">
        <v>43465</v>
      </c>
      <c r="O243">
        <v>43948</v>
      </c>
    </row>
    <row r="244" spans="1:15" x14ac:dyDescent="0.3">
      <c r="A244" s="1"/>
      <c r="B244" t="s">
        <v>48</v>
      </c>
      <c r="C244">
        <v>62766</v>
      </c>
      <c r="L244">
        <v>12</v>
      </c>
      <c r="M244" s="10" t="s">
        <v>69</v>
      </c>
      <c r="N244" s="1">
        <v>43555</v>
      </c>
      <c r="O244">
        <v>44027</v>
      </c>
    </row>
    <row r="245" spans="1:15" x14ac:dyDescent="0.3">
      <c r="A245" s="1"/>
      <c r="B245" t="s">
        <v>49</v>
      </c>
      <c r="C245">
        <v>804</v>
      </c>
      <c r="L245">
        <v>13</v>
      </c>
      <c r="M245" s="10" t="s">
        <v>69</v>
      </c>
      <c r="N245" s="1">
        <v>43646</v>
      </c>
      <c r="O245">
        <v>44723</v>
      </c>
    </row>
    <row r="246" spans="1:15" x14ac:dyDescent="0.3">
      <c r="A246" s="1"/>
      <c r="B246" t="s">
        <v>50</v>
      </c>
      <c r="C246">
        <v>48138</v>
      </c>
      <c r="D246" t="s">
        <v>36</v>
      </c>
      <c r="H246" s="10">
        <f>H236-H241</f>
        <v>70571</v>
      </c>
      <c r="L246">
        <v>14</v>
      </c>
      <c r="M246" s="10" t="s">
        <v>69</v>
      </c>
      <c r="N246" s="1">
        <v>43738</v>
      </c>
      <c r="O246">
        <v>45334</v>
      </c>
    </row>
    <row r="247" spans="1:15" x14ac:dyDescent="0.3">
      <c r="A247" s="1"/>
      <c r="B247" t="s">
        <v>51</v>
      </c>
      <c r="C247">
        <v>2594</v>
      </c>
      <c r="D247" t="s">
        <v>36</v>
      </c>
      <c r="H247" s="10">
        <f t="shared" ref="H247:H248" si="85">H237-H242</f>
        <v>-6201</v>
      </c>
      <c r="L247">
        <v>15</v>
      </c>
      <c r="M247" s="10" t="s">
        <v>69</v>
      </c>
      <c r="N247" s="1">
        <v>43830</v>
      </c>
      <c r="O247">
        <v>45740</v>
      </c>
    </row>
    <row r="248" spans="1:15" x14ac:dyDescent="0.3">
      <c r="A248" s="1"/>
      <c r="B248" t="s">
        <v>52</v>
      </c>
      <c r="C248">
        <v>3176</v>
      </c>
      <c r="D248" t="s">
        <v>36</v>
      </c>
      <c r="H248" s="10">
        <f t="shared" si="85"/>
        <v>64370</v>
      </c>
      <c r="L248">
        <v>16</v>
      </c>
      <c r="M248" s="10" t="s">
        <v>69</v>
      </c>
      <c r="N248" s="1">
        <v>43921</v>
      </c>
      <c r="O248">
        <v>45541</v>
      </c>
    </row>
    <row r="249" spans="1:15" x14ac:dyDescent="0.3">
      <c r="A249" s="1"/>
      <c r="B249" t="s">
        <v>53</v>
      </c>
      <c r="C249">
        <v>1339</v>
      </c>
      <c r="D249" t="s">
        <v>36</v>
      </c>
      <c r="H249" s="10">
        <f>I238</f>
        <v>965</v>
      </c>
      <c r="L249">
        <v>17</v>
      </c>
      <c r="M249" s="10" t="s">
        <v>69</v>
      </c>
      <c r="N249" s="1">
        <v>44012</v>
      </c>
      <c r="O249">
        <v>40410</v>
      </c>
    </row>
    <row r="250" spans="1:15" x14ac:dyDescent="0.3">
      <c r="A250" s="1"/>
      <c r="B250" t="s">
        <v>54</v>
      </c>
      <c r="C250">
        <v>408</v>
      </c>
      <c r="D250" t="s">
        <v>36</v>
      </c>
      <c r="H250" s="10">
        <f>-L202</f>
        <v>-2569</v>
      </c>
      <c r="L250">
        <v>18</v>
      </c>
      <c r="M250" s="10" t="s">
        <v>69</v>
      </c>
      <c r="N250" s="1">
        <v>44104</v>
      </c>
      <c r="O250">
        <v>46238</v>
      </c>
    </row>
    <row r="251" spans="1:15" x14ac:dyDescent="0.3">
      <c r="A251" s="1"/>
      <c r="B251" t="s">
        <v>55</v>
      </c>
      <c r="C251">
        <v>1708</v>
      </c>
      <c r="D251" t="s">
        <v>36</v>
      </c>
      <c r="H251" s="10">
        <f>H248+H249+H250</f>
        <v>62766</v>
      </c>
      <c r="L251">
        <v>19</v>
      </c>
      <c r="M251" s="10" t="s">
        <v>69</v>
      </c>
      <c r="N251" s="1">
        <v>44196</v>
      </c>
      <c r="O251">
        <v>47265</v>
      </c>
    </row>
    <row r="252" spans="1:15" x14ac:dyDescent="0.3">
      <c r="A252" s="1"/>
      <c r="B252" t="s">
        <v>56</v>
      </c>
      <c r="C252">
        <v>15758</v>
      </c>
      <c r="D252" t="s">
        <v>36</v>
      </c>
      <c r="G252" t="str">
        <f>B243</f>
        <v>Net disposable income</v>
      </c>
      <c r="H252" s="10">
        <f>C243</f>
        <v>62766</v>
      </c>
      <c r="L252">
        <v>20</v>
      </c>
      <c r="M252" s="10" t="s">
        <v>69</v>
      </c>
      <c r="N252" s="1">
        <v>44286</v>
      </c>
      <c r="O252">
        <v>49870</v>
      </c>
    </row>
    <row r="253" spans="1:15" x14ac:dyDescent="0.3">
      <c r="A253" s="1"/>
      <c r="B253" t="s">
        <v>57</v>
      </c>
      <c r="C253">
        <v>262</v>
      </c>
      <c r="D253" t="s">
        <v>36</v>
      </c>
      <c r="L253">
        <v>21</v>
      </c>
      <c r="M253" s="10" t="s">
        <v>69</v>
      </c>
      <c r="N253" s="1">
        <v>44377</v>
      </c>
      <c r="O253">
        <v>50543</v>
      </c>
    </row>
    <row r="254" spans="1:15" x14ac:dyDescent="0.3">
      <c r="A254" s="1"/>
      <c r="B254" t="s">
        <v>58</v>
      </c>
      <c r="C254">
        <v>3326</v>
      </c>
      <c r="H254" s="10">
        <f>H252-C264</f>
        <v>804</v>
      </c>
      <c r="L254">
        <v>22</v>
      </c>
      <c r="M254" s="10" t="s">
        <v>69</v>
      </c>
      <c r="N254" s="1">
        <v>44469</v>
      </c>
      <c r="O254">
        <v>47661</v>
      </c>
    </row>
    <row r="255" spans="1:15" x14ac:dyDescent="0.3">
      <c r="A255" s="1"/>
      <c r="B255" t="s">
        <v>59</v>
      </c>
      <c r="C255">
        <v>849</v>
      </c>
      <c r="G255" t="str">
        <f>B245</f>
        <v>Net saving</v>
      </c>
      <c r="H255" s="10">
        <f>C245</f>
        <v>804</v>
      </c>
      <c r="J255">
        <f>H255+E264</f>
        <v>3474</v>
      </c>
      <c r="L255">
        <v>23</v>
      </c>
      <c r="M255" s="10" t="s">
        <v>69</v>
      </c>
      <c r="N255" s="1">
        <v>44561</v>
      </c>
      <c r="O255">
        <v>50860</v>
      </c>
    </row>
    <row r="256" spans="1:15" x14ac:dyDescent="0.3">
      <c r="A256" s="1"/>
      <c r="B256" t="s">
        <v>60</v>
      </c>
      <c r="C256">
        <v>2394</v>
      </c>
      <c r="D256" t="s">
        <v>36</v>
      </c>
      <c r="L256">
        <v>24</v>
      </c>
      <c r="M256" s="10" t="s">
        <v>69</v>
      </c>
      <c r="N256" s="1">
        <v>44651</v>
      </c>
      <c r="O256">
        <v>54097</v>
      </c>
    </row>
    <row r="257" spans="1:15" x14ac:dyDescent="0.3">
      <c r="A257" s="1"/>
      <c r="B257" t="s">
        <v>61</v>
      </c>
      <c r="C257">
        <v>817</v>
      </c>
      <c r="D257" t="s">
        <v>36</v>
      </c>
      <c r="L257">
        <v>25</v>
      </c>
      <c r="M257" s="10" t="s">
        <v>69</v>
      </c>
      <c r="N257" s="1">
        <v>44742</v>
      </c>
      <c r="O257">
        <v>53808</v>
      </c>
    </row>
    <row r="258" spans="1:15" x14ac:dyDescent="0.3">
      <c r="A258" s="1"/>
      <c r="B258" t="s">
        <v>62</v>
      </c>
      <c r="C258">
        <v>11415</v>
      </c>
      <c r="D258" t="s">
        <v>36</v>
      </c>
      <c r="L258">
        <v>26</v>
      </c>
      <c r="M258" s="10" t="s">
        <v>69</v>
      </c>
      <c r="N258" s="1">
        <v>44834</v>
      </c>
      <c r="O258">
        <v>55223</v>
      </c>
    </row>
    <row r="259" spans="1:15" x14ac:dyDescent="0.3">
      <c r="A259" s="1"/>
      <c r="B259" t="s">
        <v>63</v>
      </c>
      <c r="C259" t="s">
        <v>64</v>
      </c>
      <c r="L259">
        <v>27</v>
      </c>
      <c r="M259" s="10" t="s">
        <v>69</v>
      </c>
      <c r="N259" s="1">
        <v>44926</v>
      </c>
      <c r="O259">
        <v>56519</v>
      </c>
    </row>
    <row r="260" spans="1:15" x14ac:dyDescent="0.3">
      <c r="A260" s="1"/>
      <c r="B260" t="s">
        <v>65</v>
      </c>
      <c r="C260">
        <v>448</v>
      </c>
      <c r="D260" t="s">
        <v>36</v>
      </c>
      <c r="L260">
        <v>28</v>
      </c>
      <c r="M260" s="10" t="s">
        <v>69</v>
      </c>
      <c r="N260" s="1">
        <v>45016</v>
      </c>
      <c r="O260">
        <v>57579</v>
      </c>
    </row>
    <row r="261" spans="1:15" x14ac:dyDescent="0.3">
      <c r="A261" s="1"/>
      <c r="B261" t="s">
        <v>66</v>
      </c>
      <c r="C261" t="s">
        <v>64</v>
      </c>
      <c r="L261">
        <v>29</v>
      </c>
      <c r="M261" s="10" t="s">
        <v>69</v>
      </c>
      <c r="N261" s="1">
        <v>45107</v>
      </c>
      <c r="O261">
        <v>58474</v>
      </c>
    </row>
    <row r="262" spans="1:15" x14ac:dyDescent="0.3">
      <c r="A262" s="1"/>
      <c r="B262" t="s">
        <v>67</v>
      </c>
      <c r="C262">
        <v>735</v>
      </c>
      <c r="D262" t="s">
        <v>36</v>
      </c>
      <c r="L262">
        <v>30</v>
      </c>
      <c r="M262" s="10" t="s">
        <v>69</v>
      </c>
      <c r="N262" s="1">
        <v>45199</v>
      </c>
      <c r="O262">
        <v>58482</v>
      </c>
    </row>
    <row r="263" spans="1:15" x14ac:dyDescent="0.3">
      <c r="A263" s="1"/>
      <c r="B263" t="s">
        <v>68</v>
      </c>
      <c r="C263">
        <v>965</v>
      </c>
      <c r="D263" t="s">
        <v>36</v>
      </c>
      <c r="L263">
        <v>31</v>
      </c>
      <c r="M263" s="10" t="s">
        <v>69</v>
      </c>
      <c r="N263" s="1">
        <v>45291</v>
      </c>
      <c r="O263">
        <v>58983</v>
      </c>
    </row>
    <row r="264" spans="1:15" x14ac:dyDescent="0.3">
      <c r="A264" s="1"/>
      <c r="B264" t="s">
        <v>69</v>
      </c>
      <c r="C264">
        <v>61962</v>
      </c>
      <c r="D264">
        <f>Y202</f>
        <v>59292</v>
      </c>
      <c r="E264">
        <f>C264-D264</f>
        <v>2670</v>
      </c>
      <c r="L264">
        <v>32</v>
      </c>
      <c r="M264" s="10" t="s">
        <v>69</v>
      </c>
      <c r="N264" s="1">
        <v>45382</v>
      </c>
      <c r="O264">
        <v>59206</v>
      </c>
    </row>
    <row r="265" spans="1:15" x14ac:dyDescent="0.3">
      <c r="A265" s="1"/>
      <c r="B265" t="s">
        <v>70</v>
      </c>
      <c r="C265">
        <v>2569</v>
      </c>
      <c r="D265" t="s">
        <v>36</v>
      </c>
      <c r="L265">
        <v>33</v>
      </c>
      <c r="M265" s="10" t="s">
        <v>69</v>
      </c>
      <c r="N265" s="1">
        <v>45473</v>
      </c>
      <c r="O265">
        <v>59482</v>
      </c>
    </row>
    <row r="266" spans="1:15" x14ac:dyDescent="0.3">
      <c r="A266" s="1"/>
      <c r="L266">
        <v>34</v>
      </c>
      <c r="M266" s="10" t="s">
        <v>69</v>
      </c>
      <c r="N266" s="1">
        <v>45565</v>
      </c>
      <c r="O266">
        <v>59770</v>
      </c>
    </row>
    <row r="267" spans="1:15" x14ac:dyDescent="0.3">
      <c r="A267" s="1"/>
      <c r="L267">
        <v>35</v>
      </c>
      <c r="M267" s="10" t="s">
        <v>69</v>
      </c>
      <c r="N267" s="1">
        <v>45657</v>
      </c>
      <c r="O267">
        <v>60211</v>
      </c>
    </row>
    <row r="268" spans="1:15" x14ac:dyDescent="0.3">
      <c r="A268" s="1"/>
      <c r="L268">
        <v>36</v>
      </c>
      <c r="M268" s="10" t="s">
        <v>69</v>
      </c>
      <c r="N268" s="1">
        <v>45747</v>
      </c>
      <c r="O268">
        <v>61444</v>
      </c>
    </row>
    <row r="269" spans="1:15" x14ac:dyDescent="0.3">
      <c r="A269" s="1"/>
      <c r="L269">
        <v>37</v>
      </c>
      <c r="M269" s="10" t="s">
        <v>69</v>
      </c>
      <c r="N269" s="1">
        <v>45838</v>
      </c>
      <c r="O269">
        <v>61962</v>
      </c>
    </row>
    <row r="270" spans="1:15" x14ac:dyDescent="0.3">
      <c r="A270" s="1"/>
    </row>
    <row r="271" spans="1:15" x14ac:dyDescent="0.3">
      <c r="A271" s="1"/>
    </row>
    <row r="272" spans="1:15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0F78-A1EA-4C70-B285-B501EBD615F5}">
  <dimension ref="A1:D2113"/>
  <sheetViews>
    <sheetView workbookViewId="0">
      <selection sqref="A1: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42551</v>
      </c>
      <c r="B2" t="s">
        <v>4</v>
      </c>
      <c r="C2">
        <v>28421</v>
      </c>
      <c r="D2" t="s">
        <v>4</v>
      </c>
    </row>
    <row r="3" spans="1:4" x14ac:dyDescent="0.3">
      <c r="A3" s="1">
        <v>42643</v>
      </c>
      <c r="B3" t="s">
        <v>4</v>
      </c>
      <c r="C3">
        <v>28710</v>
      </c>
      <c r="D3" t="s">
        <v>4</v>
      </c>
    </row>
    <row r="4" spans="1:4" x14ac:dyDescent="0.3">
      <c r="A4" s="1">
        <v>42735</v>
      </c>
      <c r="B4" t="s">
        <v>4</v>
      </c>
      <c r="C4">
        <v>28706</v>
      </c>
      <c r="D4" t="s">
        <v>4</v>
      </c>
    </row>
    <row r="5" spans="1:4" x14ac:dyDescent="0.3">
      <c r="A5" s="1">
        <v>42825</v>
      </c>
      <c r="B5" t="s">
        <v>4</v>
      </c>
      <c r="C5">
        <v>29623</v>
      </c>
      <c r="D5" t="s">
        <v>4</v>
      </c>
    </row>
    <row r="6" spans="1:4" x14ac:dyDescent="0.3">
      <c r="A6" s="1">
        <v>42916</v>
      </c>
      <c r="B6" t="s">
        <v>4</v>
      </c>
      <c r="C6">
        <v>29835</v>
      </c>
      <c r="D6" t="s">
        <v>4</v>
      </c>
    </row>
    <row r="7" spans="1:4" x14ac:dyDescent="0.3">
      <c r="A7" s="1">
        <v>43008</v>
      </c>
      <c r="B7" t="s">
        <v>4</v>
      </c>
      <c r="C7">
        <v>30310</v>
      </c>
      <c r="D7" t="s">
        <v>4</v>
      </c>
    </row>
    <row r="8" spans="1:4" x14ac:dyDescent="0.3">
      <c r="A8" s="1">
        <v>43100</v>
      </c>
      <c r="B8" t="s">
        <v>4</v>
      </c>
      <c r="C8">
        <v>30996</v>
      </c>
      <c r="D8" t="s">
        <v>4</v>
      </c>
    </row>
    <row r="9" spans="1:4" x14ac:dyDescent="0.3">
      <c r="A9" s="1">
        <v>43190</v>
      </c>
      <c r="B9" t="s">
        <v>4</v>
      </c>
      <c r="C9">
        <v>31376</v>
      </c>
      <c r="D9" t="s">
        <v>4</v>
      </c>
    </row>
    <row r="10" spans="1:4" x14ac:dyDescent="0.3">
      <c r="A10" s="1">
        <v>43281</v>
      </c>
      <c r="B10" t="s">
        <v>4</v>
      </c>
      <c r="C10">
        <v>31806</v>
      </c>
      <c r="D10" t="s">
        <v>4</v>
      </c>
    </row>
    <row r="11" spans="1:4" x14ac:dyDescent="0.3">
      <c r="A11" s="1">
        <v>43373</v>
      </c>
      <c r="B11" t="s">
        <v>4</v>
      </c>
      <c r="C11">
        <v>32195</v>
      </c>
      <c r="D11" t="s">
        <v>4</v>
      </c>
    </row>
    <row r="12" spans="1:4" x14ac:dyDescent="0.3">
      <c r="A12" s="1">
        <v>43465</v>
      </c>
      <c r="B12" t="s">
        <v>4</v>
      </c>
      <c r="C12">
        <v>33157</v>
      </c>
      <c r="D12" t="s">
        <v>4</v>
      </c>
    </row>
    <row r="13" spans="1:4" x14ac:dyDescent="0.3">
      <c r="A13" s="1">
        <v>43555</v>
      </c>
      <c r="B13" t="s">
        <v>4</v>
      </c>
      <c r="C13">
        <v>33072</v>
      </c>
      <c r="D13" t="s">
        <v>4</v>
      </c>
    </row>
    <row r="14" spans="1:4" x14ac:dyDescent="0.3">
      <c r="A14" s="1">
        <v>43646</v>
      </c>
      <c r="B14" t="s">
        <v>4</v>
      </c>
      <c r="C14">
        <v>33900</v>
      </c>
      <c r="D14" t="s">
        <v>4</v>
      </c>
    </row>
    <row r="15" spans="1:4" x14ac:dyDescent="0.3">
      <c r="A15" s="1">
        <v>43738</v>
      </c>
      <c r="B15" t="s">
        <v>4</v>
      </c>
      <c r="C15">
        <v>34491</v>
      </c>
      <c r="D15" t="s">
        <v>4</v>
      </c>
    </row>
    <row r="16" spans="1:4" x14ac:dyDescent="0.3">
      <c r="A16" s="1">
        <v>43830</v>
      </c>
      <c r="B16" t="s">
        <v>4</v>
      </c>
      <c r="C16">
        <v>35050</v>
      </c>
      <c r="D16" t="s">
        <v>4</v>
      </c>
    </row>
    <row r="17" spans="1:4" x14ac:dyDescent="0.3">
      <c r="A17" s="1">
        <v>43921</v>
      </c>
      <c r="B17" t="s">
        <v>4</v>
      </c>
      <c r="C17">
        <v>35615</v>
      </c>
      <c r="D17" t="s">
        <v>4</v>
      </c>
    </row>
    <row r="18" spans="1:4" x14ac:dyDescent="0.3">
      <c r="A18" s="1">
        <v>44012</v>
      </c>
      <c r="B18" t="s">
        <v>4</v>
      </c>
      <c r="C18">
        <v>34360</v>
      </c>
      <c r="D18" t="s">
        <v>4</v>
      </c>
    </row>
    <row r="19" spans="1:4" x14ac:dyDescent="0.3">
      <c r="A19" s="1">
        <v>44104</v>
      </c>
      <c r="B19" t="s">
        <v>4</v>
      </c>
      <c r="C19">
        <v>35818</v>
      </c>
      <c r="D19" t="s">
        <v>4</v>
      </c>
    </row>
    <row r="20" spans="1:4" x14ac:dyDescent="0.3">
      <c r="A20" s="1">
        <v>44196</v>
      </c>
      <c r="B20" t="s">
        <v>4</v>
      </c>
      <c r="C20">
        <v>36508</v>
      </c>
      <c r="D20" t="s">
        <v>4</v>
      </c>
    </row>
    <row r="21" spans="1:4" x14ac:dyDescent="0.3">
      <c r="A21" s="1">
        <v>44286</v>
      </c>
      <c r="B21" t="s">
        <v>4</v>
      </c>
      <c r="C21">
        <v>37412</v>
      </c>
      <c r="D21" t="s">
        <v>4</v>
      </c>
    </row>
    <row r="22" spans="1:4" x14ac:dyDescent="0.3">
      <c r="A22" s="1">
        <v>44377</v>
      </c>
      <c r="B22" t="s">
        <v>4</v>
      </c>
      <c r="C22">
        <v>38344</v>
      </c>
      <c r="D22" t="s">
        <v>4</v>
      </c>
    </row>
    <row r="23" spans="1:4" x14ac:dyDescent="0.3">
      <c r="A23" s="1">
        <v>44469</v>
      </c>
      <c r="B23" t="s">
        <v>4</v>
      </c>
      <c r="C23">
        <v>38925</v>
      </c>
      <c r="D23" t="s">
        <v>4</v>
      </c>
    </row>
    <row r="24" spans="1:4" x14ac:dyDescent="0.3">
      <c r="A24" s="1">
        <v>44561</v>
      </c>
      <c r="B24" t="s">
        <v>4</v>
      </c>
      <c r="C24">
        <v>40326</v>
      </c>
      <c r="D24" t="s">
        <v>4</v>
      </c>
    </row>
    <row r="25" spans="1:4" x14ac:dyDescent="0.3">
      <c r="A25" s="1">
        <v>44651</v>
      </c>
      <c r="B25" t="s">
        <v>4</v>
      </c>
      <c r="C25">
        <v>40622</v>
      </c>
      <c r="D25" t="s">
        <v>4</v>
      </c>
    </row>
    <row r="26" spans="1:4" x14ac:dyDescent="0.3">
      <c r="A26" s="1">
        <v>44742</v>
      </c>
      <c r="B26" t="s">
        <v>4</v>
      </c>
      <c r="C26">
        <v>41516</v>
      </c>
      <c r="D26" t="s">
        <v>4</v>
      </c>
    </row>
    <row r="27" spans="1:4" x14ac:dyDescent="0.3">
      <c r="A27" s="1">
        <v>44834</v>
      </c>
      <c r="B27" t="s">
        <v>4</v>
      </c>
      <c r="C27">
        <v>42701</v>
      </c>
      <c r="D27" t="s">
        <v>4</v>
      </c>
    </row>
    <row r="28" spans="1:4" x14ac:dyDescent="0.3">
      <c r="A28" s="1">
        <v>44926</v>
      </c>
      <c r="B28" t="s">
        <v>4</v>
      </c>
      <c r="C28">
        <v>43201</v>
      </c>
      <c r="D28" t="s">
        <v>4</v>
      </c>
    </row>
    <row r="29" spans="1:4" x14ac:dyDescent="0.3">
      <c r="A29" s="1">
        <v>45016</v>
      </c>
      <c r="B29" t="s">
        <v>4</v>
      </c>
      <c r="C29">
        <v>43990</v>
      </c>
      <c r="D29" t="s">
        <v>4</v>
      </c>
    </row>
    <row r="30" spans="1:4" x14ac:dyDescent="0.3">
      <c r="A30" s="1">
        <v>45107</v>
      </c>
      <c r="B30" t="s">
        <v>4</v>
      </c>
      <c r="C30">
        <v>44988</v>
      </c>
      <c r="D30" t="s">
        <v>4</v>
      </c>
    </row>
    <row r="31" spans="1:4" x14ac:dyDescent="0.3">
      <c r="A31" s="1">
        <v>45199</v>
      </c>
      <c r="B31" t="s">
        <v>4</v>
      </c>
      <c r="C31">
        <v>45987</v>
      </c>
      <c r="D31" t="s">
        <v>4</v>
      </c>
    </row>
    <row r="32" spans="1:4" x14ac:dyDescent="0.3">
      <c r="A32" s="1">
        <v>45291</v>
      </c>
      <c r="B32" t="s">
        <v>4</v>
      </c>
      <c r="C32">
        <v>46705</v>
      </c>
      <c r="D32" t="s">
        <v>4</v>
      </c>
    </row>
    <row r="33" spans="1:4" x14ac:dyDescent="0.3">
      <c r="A33" s="1">
        <v>45382</v>
      </c>
      <c r="B33" t="s">
        <v>4</v>
      </c>
      <c r="C33">
        <v>47261</v>
      </c>
      <c r="D33" t="s">
        <v>4</v>
      </c>
    </row>
    <row r="34" spans="1:4" x14ac:dyDescent="0.3">
      <c r="A34" s="1">
        <v>45473</v>
      </c>
      <c r="B34" t="s">
        <v>4</v>
      </c>
      <c r="C34">
        <v>47623</v>
      </c>
      <c r="D34" t="s">
        <v>4</v>
      </c>
    </row>
    <row r="35" spans="1:4" x14ac:dyDescent="0.3">
      <c r="A35" s="1">
        <v>45565</v>
      </c>
      <c r="B35" t="s">
        <v>4</v>
      </c>
      <c r="C35">
        <v>47569</v>
      </c>
      <c r="D35" t="s">
        <v>4</v>
      </c>
    </row>
    <row r="36" spans="1:4" x14ac:dyDescent="0.3">
      <c r="A36" s="1">
        <v>45657</v>
      </c>
      <c r="B36" t="s">
        <v>4</v>
      </c>
      <c r="C36">
        <v>47449</v>
      </c>
      <c r="D36" t="s">
        <v>4</v>
      </c>
    </row>
    <row r="37" spans="1:4" x14ac:dyDescent="0.3">
      <c r="A37" s="1">
        <v>45747</v>
      </c>
      <c r="B37" t="s">
        <v>4</v>
      </c>
      <c r="C37">
        <v>48095</v>
      </c>
      <c r="D37" t="s">
        <v>4</v>
      </c>
    </row>
    <row r="38" spans="1:4" x14ac:dyDescent="0.3">
      <c r="A38" s="1">
        <v>45838</v>
      </c>
      <c r="B38" t="s">
        <v>4</v>
      </c>
      <c r="C38">
        <v>48138</v>
      </c>
      <c r="D38" t="s">
        <v>4</v>
      </c>
    </row>
    <row r="39" spans="1:4" x14ac:dyDescent="0.3">
      <c r="A39" s="1">
        <v>42551</v>
      </c>
      <c r="B39" t="s">
        <v>5</v>
      </c>
      <c r="C39">
        <v>1233</v>
      </c>
      <c r="D39" t="s">
        <v>5</v>
      </c>
    </row>
    <row r="40" spans="1:4" x14ac:dyDescent="0.3">
      <c r="A40" s="1">
        <v>42643</v>
      </c>
      <c r="B40" t="s">
        <v>5</v>
      </c>
      <c r="C40">
        <v>1264</v>
      </c>
      <c r="D40" t="s">
        <v>5</v>
      </c>
    </row>
    <row r="41" spans="1:4" x14ac:dyDescent="0.3">
      <c r="A41" s="1">
        <v>42735</v>
      </c>
      <c r="B41" t="s">
        <v>5</v>
      </c>
      <c r="C41">
        <v>1297</v>
      </c>
      <c r="D41" t="s">
        <v>5</v>
      </c>
    </row>
    <row r="42" spans="1:4" x14ac:dyDescent="0.3">
      <c r="A42" s="1">
        <v>42825</v>
      </c>
      <c r="B42" t="s">
        <v>5</v>
      </c>
      <c r="C42">
        <v>1329</v>
      </c>
      <c r="D42" t="s">
        <v>5</v>
      </c>
    </row>
    <row r="43" spans="1:4" x14ac:dyDescent="0.3">
      <c r="A43" s="1">
        <v>42916</v>
      </c>
      <c r="B43" t="s">
        <v>5</v>
      </c>
      <c r="C43">
        <v>1333</v>
      </c>
      <c r="D43" t="s">
        <v>5</v>
      </c>
    </row>
    <row r="44" spans="1:4" x14ac:dyDescent="0.3">
      <c r="A44" s="1">
        <v>43008</v>
      </c>
      <c r="B44" t="s">
        <v>5</v>
      </c>
      <c r="C44">
        <v>1371</v>
      </c>
      <c r="D44" t="s">
        <v>5</v>
      </c>
    </row>
    <row r="45" spans="1:4" x14ac:dyDescent="0.3">
      <c r="A45" s="1">
        <v>43100</v>
      </c>
      <c r="B45" t="s">
        <v>5</v>
      </c>
      <c r="C45">
        <v>1400</v>
      </c>
      <c r="D45" t="s">
        <v>5</v>
      </c>
    </row>
    <row r="46" spans="1:4" x14ac:dyDescent="0.3">
      <c r="A46" s="1">
        <v>43190</v>
      </c>
      <c r="B46" t="s">
        <v>5</v>
      </c>
      <c r="C46">
        <v>1433</v>
      </c>
      <c r="D46" t="s">
        <v>5</v>
      </c>
    </row>
    <row r="47" spans="1:4" x14ac:dyDescent="0.3">
      <c r="A47" s="1">
        <v>43281</v>
      </c>
      <c r="B47" t="s">
        <v>5</v>
      </c>
      <c r="C47">
        <v>1435</v>
      </c>
      <c r="D47" t="s">
        <v>5</v>
      </c>
    </row>
    <row r="48" spans="1:4" x14ac:dyDescent="0.3">
      <c r="A48" s="1">
        <v>43373</v>
      </c>
      <c r="B48" t="s">
        <v>5</v>
      </c>
      <c r="C48">
        <v>1464</v>
      </c>
      <c r="D48" t="s">
        <v>5</v>
      </c>
    </row>
    <row r="49" spans="1:4" x14ac:dyDescent="0.3">
      <c r="A49" s="1">
        <v>43465</v>
      </c>
      <c r="B49" t="s">
        <v>5</v>
      </c>
      <c r="C49">
        <v>1494</v>
      </c>
      <c r="D49" t="s">
        <v>5</v>
      </c>
    </row>
    <row r="50" spans="1:4" x14ac:dyDescent="0.3">
      <c r="A50" s="1">
        <v>43555</v>
      </c>
      <c r="B50" t="s">
        <v>5</v>
      </c>
      <c r="C50">
        <v>1522</v>
      </c>
      <c r="D50" t="s">
        <v>5</v>
      </c>
    </row>
    <row r="51" spans="1:4" x14ac:dyDescent="0.3">
      <c r="A51" s="1">
        <v>43646</v>
      </c>
      <c r="B51" t="s">
        <v>5</v>
      </c>
      <c r="C51">
        <v>1523</v>
      </c>
      <c r="D51" t="s">
        <v>5</v>
      </c>
    </row>
    <row r="52" spans="1:4" x14ac:dyDescent="0.3">
      <c r="A52" s="1">
        <v>43738</v>
      </c>
      <c r="B52" t="s">
        <v>5</v>
      </c>
      <c r="C52">
        <v>1550</v>
      </c>
      <c r="D52" t="s">
        <v>5</v>
      </c>
    </row>
    <row r="53" spans="1:4" x14ac:dyDescent="0.3">
      <c r="A53" s="1">
        <v>43830</v>
      </c>
      <c r="B53" t="s">
        <v>5</v>
      </c>
      <c r="C53">
        <v>1584</v>
      </c>
      <c r="D53" t="s">
        <v>5</v>
      </c>
    </row>
    <row r="54" spans="1:4" x14ac:dyDescent="0.3">
      <c r="A54" s="1">
        <v>43921</v>
      </c>
      <c r="B54" t="s">
        <v>5</v>
      </c>
      <c r="C54">
        <v>1616</v>
      </c>
      <c r="D54" t="s">
        <v>5</v>
      </c>
    </row>
    <row r="55" spans="1:4" x14ac:dyDescent="0.3">
      <c r="A55" s="1">
        <v>44012</v>
      </c>
      <c r="B55" t="s">
        <v>5</v>
      </c>
      <c r="C55">
        <v>1644</v>
      </c>
      <c r="D55" t="s">
        <v>5</v>
      </c>
    </row>
    <row r="56" spans="1:4" x14ac:dyDescent="0.3">
      <c r="A56" s="1">
        <v>44104</v>
      </c>
      <c r="B56" t="s">
        <v>5</v>
      </c>
      <c r="C56">
        <v>1661</v>
      </c>
      <c r="D56" t="s">
        <v>5</v>
      </c>
    </row>
    <row r="57" spans="1:4" x14ac:dyDescent="0.3">
      <c r="A57" s="1">
        <v>44196</v>
      </c>
      <c r="B57" t="s">
        <v>5</v>
      </c>
      <c r="C57">
        <v>1669</v>
      </c>
      <c r="D57" t="s">
        <v>5</v>
      </c>
    </row>
    <row r="58" spans="1:4" x14ac:dyDescent="0.3">
      <c r="A58" s="1">
        <v>44286</v>
      </c>
      <c r="B58" t="s">
        <v>5</v>
      </c>
      <c r="C58">
        <v>1681</v>
      </c>
      <c r="D58" t="s">
        <v>5</v>
      </c>
    </row>
    <row r="59" spans="1:4" x14ac:dyDescent="0.3">
      <c r="A59" s="1">
        <v>44377</v>
      </c>
      <c r="B59" t="s">
        <v>5</v>
      </c>
      <c r="C59">
        <v>1810</v>
      </c>
      <c r="D59" t="s">
        <v>5</v>
      </c>
    </row>
    <row r="60" spans="1:4" x14ac:dyDescent="0.3">
      <c r="A60" s="1">
        <v>44469</v>
      </c>
      <c r="B60" t="s">
        <v>5</v>
      </c>
      <c r="C60">
        <v>1873</v>
      </c>
      <c r="D60" t="s">
        <v>5</v>
      </c>
    </row>
    <row r="61" spans="1:4" x14ac:dyDescent="0.3">
      <c r="A61" s="1">
        <v>44561</v>
      </c>
      <c r="B61" t="s">
        <v>5</v>
      </c>
      <c r="C61">
        <v>1945</v>
      </c>
      <c r="D61" t="s">
        <v>5</v>
      </c>
    </row>
    <row r="62" spans="1:4" x14ac:dyDescent="0.3">
      <c r="A62" s="1">
        <v>44651</v>
      </c>
      <c r="B62" t="s">
        <v>5</v>
      </c>
      <c r="C62">
        <v>2037</v>
      </c>
      <c r="D62" t="s">
        <v>5</v>
      </c>
    </row>
    <row r="63" spans="1:4" x14ac:dyDescent="0.3">
      <c r="A63" s="1">
        <v>44742</v>
      </c>
      <c r="B63" t="s">
        <v>5</v>
      </c>
      <c r="C63">
        <v>2061</v>
      </c>
      <c r="D63" t="s">
        <v>5</v>
      </c>
    </row>
    <row r="64" spans="1:4" x14ac:dyDescent="0.3">
      <c r="A64" s="1">
        <v>44834</v>
      </c>
      <c r="B64" t="s">
        <v>5</v>
      </c>
      <c r="C64">
        <v>2181</v>
      </c>
      <c r="D64" t="s">
        <v>5</v>
      </c>
    </row>
    <row r="65" spans="1:4" x14ac:dyDescent="0.3">
      <c r="A65" s="1">
        <v>44926</v>
      </c>
      <c r="B65" t="s">
        <v>5</v>
      </c>
      <c r="C65">
        <v>2287</v>
      </c>
      <c r="D65" t="s">
        <v>5</v>
      </c>
    </row>
    <row r="66" spans="1:4" x14ac:dyDescent="0.3">
      <c r="A66" s="1">
        <v>45016</v>
      </c>
      <c r="B66" t="s">
        <v>5</v>
      </c>
      <c r="C66">
        <v>2376</v>
      </c>
      <c r="D66" t="s">
        <v>5</v>
      </c>
    </row>
    <row r="67" spans="1:4" x14ac:dyDescent="0.3">
      <c r="A67" s="1">
        <v>45107</v>
      </c>
      <c r="B67" t="s">
        <v>5</v>
      </c>
      <c r="C67">
        <v>2308</v>
      </c>
      <c r="D67" t="s">
        <v>5</v>
      </c>
    </row>
    <row r="68" spans="1:4" x14ac:dyDescent="0.3">
      <c r="A68" s="1">
        <v>45199</v>
      </c>
      <c r="B68" t="s">
        <v>5</v>
      </c>
      <c r="C68">
        <v>2375</v>
      </c>
      <c r="D68" t="s">
        <v>5</v>
      </c>
    </row>
    <row r="69" spans="1:4" x14ac:dyDescent="0.3">
      <c r="A69" s="1">
        <v>45291</v>
      </c>
      <c r="B69" t="s">
        <v>5</v>
      </c>
      <c r="C69">
        <v>2427</v>
      </c>
      <c r="D69" t="s">
        <v>5</v>
      </c>
    </row>
    <row r="70" spans="1:4" x14ac:dyDescent="0.3">
      <c r="A70" s="1">
        <v>45382</v>
      </c>
      <c r="B70" t="s">
        <v>5</v>
      </c>
      <c r="C70">
        <v>2470</v>
      </c>
      <c r="D70" t="s">
        <v>5</v>
      </c>
    </row>
    <row r="71" spans="1:4" x14ac:dyDescent="0.3">
      <c r="A71" s="1">
        <v>45473</v>
      </c>
      <c r="B71" t="s">
        <v>5</v>
      </c>
      <c r="C71">
        <v>2471</v>
      </c>
      <c r="D71" t="s">
        <v>5</v>
      </c>
    </row>
    <row r="72" spans="1:4" x14ac:dyDescent="0.3">
      <c r="A72" s="1">
        <v>45565</v>
      </c>
      <c r="B72" t="s">
        <v>5</v>
      </c>
      <c r="C72">
        <v>2509</v>
      </c>
      <c r="D72" t="s">
        <v>5</v>
      </c>
    </row>
    <row r="73" spans="1:4" x14ac:dyDescent="0.3">
      <c r="A73" s="1">
        <v>45657</v>
      </c>
      <c r="B73" t="s">
        <v>5</v>
      </c>
      <c r="C73">
        <v>2526</v>
      </c>
      <c r="D73" t="s">
        <v>5</v>
      </c>
    </row>
    <row r="74" spans="1:4" x14ac:dyDescent="0.3">
      <c r="A74" s="1">
        <v>45747</v>
      </c>
      <c r="B74" t="s">
        <v>5</v>
      </c>
      <c r="C74">
        <v>2545</v>
      </c>
      <c r="D74" t="s">
        <v>5</v>
      </c>
    </row>
    <row r="75" spans="1:4" x14ac:dyDescent="0.3">
      <c r="A75" s="1">
        <v>45838</v>
      </c>
      <c r="B75" t="s">
        <v>5</v>
      </c>
      <c r="C75">
        <v>2569</v>
      </c>
      <c r="D75" t="s">
        <v>5</v>
      </c>
    </row>
    <row r="76" spans="1:4" x14ac:dyDescent="0.3">
      <c r="A76" s="1">
        <v>42551</v>
      </c>
      <c r="B76" t="s">
        <v>6</v>
      </c>
      <c r="C76">
        <v>7648</v>
      </c>
      <c r="D76" t="s">
        <v>6</v>
      </c>
    </row>
    <row r="77" spans="1:4" x14ac:dyDescent="0.3">
      <c r="A77" s="1">
        <v>42643</v>
      </c>
      <c r="B77" t="s">
        <v>6</v>
      </c>
      <c r="C77">
        <v>7643</v>
      </c>
      <c r="D77" t="s">
        <v>6</v>
      </c>
    </row>
    <row r="78" spans="1:4" x14ac:dyDescent="0.3">
      <c r="A78" s="1">
        <v>42735</v>
      </c>
      <c r="B78" t="s">
        <v>6</v>
      </c>
      <c r="C78">
        <v>7753</v>
      </c>
      <c r="D78" t="s">
        <v>6</v>
      </c>
    </row>
    <row r="79" spans="1:4" x14ac:dyDescent="0.3">
      <c r="A79" s="1">
        <v>42825</v>
      </c>
      <c r="B79" t="s">
        <v>6</v>
      </c>
      <c r="C79">
        <v>7864</v>
      </c>
      <c r="D79" t="s">
        <v>6</v>
      </c>
    </row>
    <row r="80" spans="1:4" x14ac:dyDescent="0.3">
      <c r="A80" s="1">
        <v>42916</v>
      </c>
      <c r="B80" t="s">
        <v>6</v>
      </c>
      <c r="C80">
        <v>7891</v>
      </c>
      <c r="D80" t="s">
        <v>6</v>
      </c>
    </row>
    <row r="81" spans="1:4" x14ac:dyDescent="0.3">
      <c r="A81" s="1">
        <v>43008</v>
      </c>
      <c r="B81" t="s">
        <v>6</v>
      </c>
      <c r="C81">
        <v>7872</v>
      </c>
      <c r="D81" t="s">
        <v>6</v>
      </c>
    </row>
    <row r="82" spans="1:4" x14ac:dyDescent="0.3">
      <c r="A82" s="1">
        <v>43100</v>
      </c>
      <c r="B82" t="s">
        <v>6</v>
      </c>
      <c r="C82">
        <v>8020</v>
      </c>
      <c r="D82" t="s">
        <v>6</v>
      </c>
    </row>
    <row r="83" spans="1:4" x14ac:dyDescent="0.3">
      <c r="A83" s="1">
        <v>43190</v>
      </c>
      <c r="B83" t="s">
        <v>6</v>
      </c>
      <c r="C83">
        <v>8161</v>
      </c>
      <c r="D83" t="s">
        <v>6</v>
      </c>
    </row>
    <row r="84" spans="1:4" x14ac:dyDescent="0.3">
      <c r="A84" s="1">
        <v>43281</v>
      </c>
      <c r="B84" t="s">
        <v>6</v>
      </c>
      <c r="C84">
        <v>8073</v>
      </c>
      <c r="D84" t="s">
        <v>6</v>
      </c>
    </row>
    <row r="85" spans="1:4" x14ac:dyDescent="0.3">
      <c r="A85" s="1">
        <v>43373</v>
      </c>
      <c r="B85" t="s">
        <v>6</v>
      </c>
      <c r="C85">
        <v>8588</v>
      </c>
      <c r="D85" t="s">
        <v>6</v>
      </c>
    </row>
    <row r="86" spans="1:4" x14ac:dyDescent="0.3">
      <c r="A86" s="1">
        <v>43465</v>
      </c>
      <c r="B86" t="s">
        <v>6</v>
      </c>
      <c r="C86">
        <v>8601</v>
      </c>
      <c r="D86" t="s">
        <v>6</v>
      </c>
    </row>
    <row r="87" spans="1:4" x14ac:dyDescent="0.3">
      <c r="A87" s="1">
        <v>43555</v>
      </c>
      <c r="B87" t="s">
        <v>6</v>
      </c>
      <c r="C87">
        <v>8719</v>
      </c>
      <c r="D87" t="s">
        <v>6</v>
      </c>
    </row>
    <row r="88" spans="1:4" x14ac:dyDescent="0.3">
      <c r="A88" s="1">
        <v>43646</v>
      </c>
      <c r="B88" t="s">
        <v>6</v>
      </c>
      <c r="C88">
        <v>9030</v>
      </c>
      <c r="D88" t="s">
        <v>6</v>
      </c>
    </row>
    <row r="89" spans="1:4" x14ac:dyDescent="0.3">
      <c r="A89" s="1">
        <v>43738</v>
      </c>
      <c r="B89" t="s">
        <v>6</v>
      </c>
      <c r="C89">
        <v>9166</v>
      </c>
      <c r="D89" t="s">
        <v>6</v>
      </c>
    </row>
    <row r="90" spans="1:4" x14ac:dyDescent="0.3">
      <c r="A90" s="1">
        <v>43830</v>
      </c>
      <c r="B90" t="s">
        <v>6</v>
      </c>
      <c r="C90">
        <v>9211</v>
      </c>
      <c r="D90" t="s">
        <v>6</v>
      </c>
    </row>
    <row r="91" spans="1:4" x14ac:dyDescent="0.3">
      <c r="A91" s="1">
        <v>43921</v>
      </c>
      <c r="B91" t="s">
        <v>6</v>
      </c>
      <c r="C91">
        <v>9473</v>
      </c>
      <c r="D91" t="s">
        <v>6</v>
      </c>
    </row>
    <row r="92" spans="1:4" x14ac:dyDescent="0.3">
      <c r="A92" s="1">
        <v>44012</v>
      </c>
      <c r="B92" t="s">
        <v>6</v>
      </c>
      <c r="C92">
        <v>10188</v>
      </c>
      <c r="D92" t="s">
        <v>6</v>
      </c>
    </row>
    <row r="93" spans="1:4" x14ac:dyDescent="0.3">
      <c r="A93" s="1">
        <v>44104</v>
      </c>
      <c r="B93" t="s">
        <v>6</v>
      </c>
      <c r="C93">
        <v>10346</v>
      </c>
      <c r="D93" t="s">
        <v>6</v>
      </c>
    </row>
    <row r="94" spans="1:4" x14ac:dyDescent="0.3">
      <c r="A94" s="1">
        <v>44196</v>
      </c>
      <c r="B94" t="s">
        <v>6</v>
      </c>
      <c r="C94">
        <v>10284</v>
      </c>
      <c r="D94" t="s">
        <v>6</v>
      </c>
    </row>
    <row r="95" spans="1:4" x14ac:dyDescent="0.3">
      <c r="A95" s="1">
        <v>44286</v>
      </c>
      <c r="B95" t="s">
        <v>6</v>
      </c>
      <c r="C95">
        <v>10476</v>
      </c>
      <c r="D95" t="s">
        <v>6</v>
      </c>
    </row>
    <row r="96" spans="1:4" x14ac:dyDescent="0.3">
      <c r="A96" s="1">
        <v>44377</v>
      </c>
      <c r="B96" t="s">
        <v>6</v>
      </c>
      <c r="C96">
        <v>10722</v>
      </c>
      <c r="D96" t="s">
        <v>6</v>
      </c>
    </row>
    <row r="97" spans="1:4" x14ac:dyDescent="0.3">
      <c r="A97" s="1">
        <v>44469</v>
      </c>
      <c r="B97" t="s">
        <v>6</v>
      </c>
      <c r="C97">
        <v>10632</v>
      </c>
      <c r="D97" t="s">
        <v>6</v>
      </c>
    </row>
    <row r="98" spans="1:4" x14ac:dyDescent="0.3">
      <c r="A98" s="1">
        <v>44561</v>
      </c>
      <c r="B98" t="s">
        <v>6</v>
      </c>
      <c r="C98">
        <v>11007</v>
      </c>
      <c r="D98" t="s">
        <v>6</v>
      </c>
    </row>
    <row r="99" spans="1:4" x14ac:dyDescent="0.3">
      <c r="A99" s="1">
        <v>44651</v>
      </c>
      <c r="B99" t="s">
        <v>6</v>
      </c>
      <c r="C99">
        <v>11146</v>
      </c>
      <c r="D99" t="s">
        <v>6</v>
      </c>
    </row>
    <row r="100" spans="1:4" x14ac:dyDescent="0.3">
      <c r="A100" s="1">
        <v>44742</v>
      </c>
      <c r="B100" t="s">
        <v>6</v>
      </c>
      <c r="C100">
        <v>11528</v>
      </c>
      <c r="D100" t="s">
        <v>6</v>
      </c>
    </row>
    <row r="101" spans="1:4" x14ac:dyDescent="0.3">
      <c r="A101" s="1">
        <v>44834</v>
      </c>
      <c r="B101" t="s">
        <v>6</v>
      </c>
      <c r="C101">
        <v>12007</v>
      </c>
      <c r="D101" t="s">
        <v>6</v>
      </c>
    </row>
    <row r="102" spans="1:4" x14ac:dyDescent="0.3">
      <c r="A102" s="1">
        <v>44926</v>
      </c>
      <c r="B102" t="s">
        <v>6</v>
      </c>
      <c r="C102">
        <v>12132</v>
      </c>
      <c r="D102" t="s">
        <v>6</v>
      </c>
    </row>
    <row r="103" spans="1:4" x14ac:dyDescent="0.3">
      <c r="A103" s="1">
        <v>45016</v>
      </c>
      <c r="B103" t="s">
        <v>6</v>
      </c>
      <c r="C103">
        <v>12251</v>
      </c>
      <c r="D103" t="s">
        <v>6</v>
      </c>
    </row>
    <row r="104" spans="1:4" x14ac:dyDescent="0.3">
      <c r="A104" s="1">
        <v>45107</v>
      </c>
      <c r="B104" t="s">
        <v>6</v>
      </c>
      <c r="C104">
        <v>12531</v>
      </c>
      <c r="D104" t="s">
        <v>6</v>
      </c>
    </row>
    <row r="105" spans="1:4" x14ac:dyDescent="0.3">
      <c r="A105" s="1">
        <v>45199</v>
      </c>
      <c r="B105" t="s">
        <v>6</v>
      </c>
      <c r="C105">
        <v>12703</v>
      </c>
      <c r="D105" t="s">
        <v>6</v>
      </c>
    </row>
    <row r="106" spans="1:4" x14ac:dyDescent="0.3">
      <c r="A106" s="1">
        <v>45291</v>
      </c>
      <c r="B106" t="s">
        <v>6</v>
      </c>
      <c r="C106">
        <v>13114</v>
      </c>
      <c r="D106" t="s">
        <v>6</v>
      </c>
    </row>
    <row r="107" spans="1:4" x14ac:dyDescent="0.3">
      <c r="A107" s="1">
        <v>45382</v>
      </c>
      <c r="B107" t="s">
        <v>6</v>
      </c>
      <c r="C107">
        <v>13412</v>
      </c>
      <c r="D107" t="s">
        <v>6</v>
      </c>
    </row>
    <row r="108" spans="1:4" x14ac:dyDescent="0.3">
      <c r="A108" s="1">
        <v>45473</v>
      </c>
      <c r="B108" t="s">
        <v>6</v>
      </c>
      <c r="C108">
        <v>13636</v>
      </c>
      <c r="D108" t="s">
        <v>6</v>
      </c>
    </row>
    <row r="109" spans="1:4" x14ac:dyDescent="0.3">
      <c r="A109" s="1">
        <v>45565</v>
      </c>
      <c r="B109" t="s">
        <v>6</v>
      </c>
      <c r="C109">
        <v>13801</v>
      </c>
      <c r="D109" t="s">
        <v>6</v>
      </c>
    </row>
    <row r="110" spans="1:4" x14ac:dyDescent="0.3">
      <c r="A110" s="1">
        <v>45657</v>
      </c>
      <c r="B110" t="s">
        <v>6</v>
      </c>
      <c r="C110">
        <v>14086</v>
      </c>
      <c r="D110" t="s">
        <v>6</v>
      </c>
    </row>
    <row r="111" spans="1:4" x14ac:dyDescent="0.3">
      <c r="A111" s="1">
        <v>45747</v>
      </c>
      <c r="B111" t="s">
        <v>6</v>
      </c>
      <c r="C111">
        <v>14446</v>
      </c>
      <c r="D111" t="s">
        <v>6</v>
      </c>
    </row>
    <row r="112" spans="1:4" x14ac:dyDescent="0.3">
      <c r="A112" s="1">
        <v>45838</v>
      </c>
      <c r="B112" t="s">
        <v>6</v>
      </c>
      <c r="C112">
        <v>14626</v>
      </c>
      <c r="D112" t="s">
        <v>6</v>
      </c>
    </row>
    <row r="113" spans="1:4" x14ac:dyDescent="0.3">
      <c r="A113" s="1">
        <v>42551</v>
      </c>
      <c r="B113" t="s">
        <v>7</v>
      </c>
      <c r="C113">
        <v>8645</v>
      </c>
      <c r="D113" t="s">
        <v>7</v>
      </c>
    </row>
    <row r="114" spans="1:4" x14ac:dyDescent="0.3">
      <c r="A114" s="1">
        <v>42643</v>
      </c>
      <c r="B114" t="s">
        <v>7</v>
      </c>
      <c r="C114">
        <v>8751</v>
      </c>
      <c r="D114" t="s">
        <v>7</v>
      </c>
    </row>
    <row r="115" spans="1:4" x14ac:dyDescent="0.3">
      <c r="A115" s="1">
        <v>42735</v>
      </c>
      <c r="B115" t="s">
        <v>7</v>
      </c>
      <c r="C115">
        <v>8833</v>
      </c>
      <c r="D115" t="s">
        <v>7</v>
      </c>
    </row>
    <row r="116" spans="1:4" x14ac:dyDescent="0.3">
      <c r="A116" s="1">
        <v>42825</v>
      </c>
      <c r="B116" t="s">
        <v>7</v>
      </c>
      <c r="C116">
        <v>8744</v>
      </c>
      <c r="D116" t="s">
        <v>7</v>
      </c>
    </row>
    <row r="117" spans="1:4" x14ac:dyDescent="0.3">
      <c r="A117" s="1">
        <v>42916</v>
      </c>
      <c r="B117" t="s">
        <v>7</v>
      </c>
      <c r="C117">
        <v>9280</v>
      </c>
      <c r="D117" t="s">
        <v>7</v>
      </c>
    </row>
    <row r="118" spans="1:4" x14ac:dyDescent="0.3">
      <c r="A118" s="1">
        <v>43008</v>
      </c>
      <c r="B118" t="s">
        <v>7</v>
      </c>
      <c r="C118">
        <v>9291</v>
      </c>
      <c r="D118" t="s">
        <v>7</v>
      </c>
    </row>
    <row r="119" spans="1:4" x14ac:dyDescent="0.3">
      <c r="A119" s="1">
        <v>43100</v>
      </c>
      <c r="B119" t="s">
        <v>7</v>
      </c>
      <c r="C119">
        <v>9270</v>
      </c>
      <c r="D119" t="s">
        <v>7</v>
      </c>
    </row>
    <row r="120" spans="1:4" x14ac:dyDescent="0.3">
      <c r="A120" s="1">
        <v>43190</v>
      </c>
      <c r="B120" t="s">
        <v>7</v>
      </c>
      <c r="C120">
        <v>9603</v>
      </c>
      <c r="D120" t="s">
        <v>7</v>
      </c>
    </row>
    <row r="121" spans="1:4" x14ac:dyDescent="0.3">
      <c r="A121" s="1">
        <v>43281</v>
      </c>
      <c r="B121" t="s">
        <v>7</v>
      </c>
      <c r="C121">
        <v>9326</v>
      </c>
      <c r="D121" t="s">
        <v>7</v>
      </c>
    </row>
    <row r="122" spans="1:4" x14ac:dyDescent="0.3">
      <c r="A122" s="1">
        <v>43373</v>
      </c>
      <c r="B122" t="s">
        <v>7</v>
      </c>
      <c r="C122">
        <v>9896</v>
      </c>
      <c r="D122" t="s">
        <v>7</v>
      </c>
    </row>
    <row r="123" spans="1:4" x14ac:dyDescent="0.3">
      <c r="A123" s="1">
        <v>43465</v>
      </c>
      <c r="B123" t="s">
        <v>7</v>
      </c>
      <c r="C123">
        <v>9985</v>
      </c>
      <c r="D123" t="s">
        <v>7</v>
      </c>
    </row>
    <row r="124" spans="1:4" x14ac:dyDescent="0.3">
      <c r="A124" s="1">
        <v>43555</v>
      </c>
      <c r="B124" t="s">
        <v>7</v>
      </c>
      <c r="C124">
        <v>10333</v>
      </c>
      <c r="D124" t="s">
        <v>7</v>
      </c>
    </row>
    <row r="125" spans="1:4" x14ac:dyDescent="0.3">
      <c r="A125" s="1">
        <v>43646</v>
      </c>
      <c r="B125" t="s">
        <v>7</v>
      </c>
      <c r="C125">
        <v>10392</v>
      </c>
      <c r="D125" t="s">
        <v>7</v>
      </c>
    </row>
    <row r="126" spans="1:4" x14ac:dyDescent="0.3">
      <c r="A126" s="1">
        <v>43738</v>
      </c>
      <c r="B126" t="s">
        <v>7</v>
      </c>
      <c r="C126">
        <v>10341</v>
      </c>
      <c r="D126" t="s">
        <v>7</v>
      </c>
    </row>
    <row r="127" spans="1:4" x14ac:dyDescent="0.3">
      <c r="A127" s="1">
        <v>43830</v>
      </c>
      <c r="B127" t="s">
        <v>7</v>
      </c>
      <c r="C127">
        <v>10849</v>
      </c>
      <c r="D127" t="s">
        <v>7</v>
      </c>
    </row>
    <row r="128" spans="1:4" x14ac:dyDescent="0.3">
      <c r="A128" s="1">
        <v>43921</v>
      </c>
      <c r="B128" t="s">
        <v>7</v>
      </c>
      <c r="C128">
        <v>10796</v>
      </c>
      <c r="D128" t="s">
        <v>7</v>
      </c>
    </row>
    <row r="129" spans="1:4" x14ac:dyDescent="0.3">
      <c r="A129" s="1">
        <v>44012</v>
      </c>
      <c r="B129" t="s">
        <v>7</v>
      </c>
      <c r="C129">
        <v>10245</v>
      </c>
      <c r="D129" t="s">
        <v>7</v>
      </c>
    </row>
    <row r="130" spans="1:4" x14ac:dyDescent="0.3">
      <c r="A130" s="1">
        <v>44104</v>
      </c>
      <c r="B130" t="s">
        <v>7</v>
      </c>
      <c r="C130">
        <v>11396</v>
      </c>
      <c r="D130" t="s">
        <v>7</v>
      </c>
    </row>
    <row r="131" spans="1:4" x14ac:dyDescent="0.3">
      <c r="A131" s="1">
        <v>44196</v>
      </c>
      <c r="B131" t="s">
        <v>7</v>
      </c>
      <c r="C131">
        <v>11480</v>
      </c>
      <c r="D131" t="s">
        <v>7</v>
      </c>
    </row>
    <row r="132" spans="1:4" x14ac:dyDescent="0.3">
      <c r="A132" s="1">
        <v>44286</v>
      </c>
      <c r="B132" t="s">
        <v>7</v>
      </c>
      <c r="C132">
        <v>11985</v>
      </c>
      <c r="D132" t="s">
        <v>7</v>
      </c>
    </row>
    <row r="133" spans="1:4" x14ac:dyDescent="0.3">
      <c r="A133" s="1">
        <v>44377</v>
      </c>
      <c r="B133" t="s">
        <v>7</v>
      </c>
      <c r="C133">
        <v>12613</v>
      </c>
      <c r="D133" t="s">
        <v>7</v>
      </c>
    </row>
    <row r="134" spans="1:4" x14ac:dyDescent="0.3">
      <c r="A134" s="1">
        <v>44469</v>
      </c>
      <c r="B134" t="s">
        <v>7</v>
      </c>
      <c r="C134">
        <v>12512</v>
      </c>
      <c r="D134" t="s">
        <v>7</v>
      </c>
    </row>
    <row r="135" spans="1:4" x14ac:dyDescent="0.3">
      <c r="A135" s="1">
        <v>44561</v>
      </c>
      <c r="B135" t="s">
        <v>7</v>
      </c>
      <c r="C135">
        <v>13357</v>
      </c>
      <c r="D135" t="s">
        <v>7</v>
      </c>
    </row>
    <row r="136" spans="1:4" x14ac:dyDescent="0.3">
      <c r="A136" s="1">
        <v>44651</v>
      </c>
      <c r="B136" t="s">
        <v>7</v>
      </c>
      <c r="C136">
        <v>13511</v>
      </c>
      <c r="D136" t="s">
        <v>7</v>
      </c>
    </row>
    <row r="137" spans="1:4" x14ac:dyDescent="0.3">
      <c r="A137" s="1">
        <v>44742</v>
      </c>
      <c r="B137" t="s">
        <v>7</v>
      </c>
      <c r="C137">
        <v>14229</v>
      </c>
      <c r="D137" t="s">
        <v>7</v>
      </c>
    </row>
    <row r="138" spans="1:4" x14ac:dyDescent="0.3">
      <c r="A138" s="1">
        <v>44834</v>
      </c>
      <c r="B138" t="s">
        <v>7</v>
      </c>
      <c r="C138">
        <v>14158</v>
      </c>
      <c r="D138" t="s">
        <v>7</v>
      </c>
    </row>
    <row r="139" spans="1:4" x14ac:dyDescent="0.3">
      <c r="A139" s="1">
        <v>44926</v>
      </c>
      <c r="B139" t="s">
        <v>7</v>
      </c>
      <c r="C139">
        <v>14259</v>
      </c>
      <c r="D139" t="s">
        <v>7</v>
      </c>
    </row>
    <row r="140" spans="1:4" x14ac:dyDescent="0.3">
      <c r="A140" s="1">
        <v>45016</v>
      </c>
      <c r="B140" t="s">
        <v>7</v>
      </c>
      <c r="C140">
        <v>14764</v>
      </c>
      <c r="D140" t="s">
        <v>7</v>
      </c>
    </row>
    <row r="141" spans="1:4" x14ac:dyDescent="0.3">
      <c r="A141" s="1">
        <v>45107</v>
      </c>
      <c r="B141" t="s">
        <v>7</v>
      </c>
      <c r="C141">
        <v>14550</v>
      </c>
      <c r="D141" t="s">
        <v>7</v>
      </c>
    </row>
    <row r="142" spans="1:4" x14ac:dyDescent="0.3">
      <c r="A142" s="1">
        <v>45199</v>
      </c>
      <c r="B142" t="s">
        <v>7</v>
      </c>
      <c r="C142">
        <v>15751</v>
      </c>
      <c r="D142" t="s">
        <v>7</v>
      </c>
    </row>
    <row r="143" spans="1:4" x14ac:dyDescent="0.3">
      <c r="A143" s="1">
        <v>45291</v>
      </c>
      <c r="B143" t="s">
        <v>7</v>
      </c>
      <c r="C143">
        <v>16144</v>
      </c>
      <c r="D143" t="s">
        <v>7</v>
      </c>
    </row>
    <row r="144" spans="1:4" x14ac:dyDescent="0.3">
      <c r="A144" s="1">
        <v>45382</v>
      </c>
      <c r="B144" t="s">
        <v>7</v>
      </c>
      <c r="C144">
        <v>16125</v>
      </c>
      <c r="D144" t="s">
        <v>7</v>
      </c>
    </row>
    <row r="145" spans="1:4" x14ac:dyDescent="0.3">
      <c r="A145" s="1">
        <v>45473</v>
      </c>
      <c r="B145" t="s">
        <v>7</v>
      </c>
      <c r="C145">
        <v>16467</v>
      </c>
      <c r="D145" t="s">
        <v>7</v>
      </c>
    </row>
    <row r="146" spans="1:4" x14ac:dyDescent="0.3">
      <c r="A146" s="1">
        <v>45565</v>
      </c>
      <c r="B146" t="s">
        <v>7</v>
      </c>
      <c r="C146">
        <v>16324</v>
      </c>
      <c r="D146" t="s">
        <v>7</v>
      </c>
    </row>
    <row r="147" spans="1:4" x14ac:dyDescent="0.3">
      <c r="A147" s="1">
        <v>45657</v>
      </c>
      <c r="B147" t="s">
        <v>7</v>
      </c>
      <c r="C147">
        <v>16079</v>
      </c>
      <c r="D147" t="s">
        <v>7</v>
      </c>
    </row>
    <row r="148" spans="1:4" x14ac:dyDescent="0.3">
      <c r="A148" s="1">
        <v>45747</v>
      </c>
      <c r="B148" t="s">
        <v>7</v>
      </c>
      <c r="C148">
        <v>16043</v>
      </c>
      <c r="D148" t="s">
        <v>7</v>
      </c>
    </row>
    <row r="149" spans="1:4" x14ac:dyDescent="0.3">
      <c r="A149" s="1">
        <v>45838</v>
      </c>
      <c r="B149" t="s">
        <v>7</v>
      </c>
      <c r="C149">
        <v>16020</v>
      </c>
      <c r="D149" t="s">
        <v>7</v>
      </c>
    </row>
    <row r="150" spans="1:4" x14ac:dyDescent="0.3">
      <c r="A150" s="1">
        <v>42551</v>
      </c>
      <c r="B150" t="s">
        <v>8</v>
      </c>
      <c r="C150">
        <v>3890</v>
      </c>
      <c r="D150" t="s">
        <v>8</v>
      </c>
    </row>
    <row r="151" spans="1:4" x14ac:dyDescent="0.3">
      <c r="A151" s="1">
        <v>42643</v>
      </c>
      <c r="B151" t="s">
        <v>8</v>
      </c>
      <c r="C151">
        <v>3955</v>
      </c>
      <c r="D151" t="s">
        <v>8</v>
      </c>
    </row>
    <row r="152" spans="1:4" x14ac:dyDescent="0.3">
      <c r="A152" s="1">
        <v>42735</v>
      </c>
      <c r="B152" t="s">
        <v>8</v>
      </c>
      <c r="C152">
        <v>3928</v>
      </c>
      <c r="D152" t="s">
        <v>8</v>
      </c>
    </row>
    <row r="153" spans="1:4" x14ac:dyDescent="0.3">
      <c r="A153" s="1">
        <v>42825</v>
      </c>
      <c r="B153" t="s">
        <v>8</v>
      </c>
      <c r="C153">
        <v>3981</v>
      </c>
      <c r="D153" t="s">
        <v>8</v>
      </c>
    </row>
    <row r="154" spans="1:4" x14ac:dyDescent="0.3">
      <c r="A154" s="1">
        <v>42916</v>
      </c>
      <c r="B154" t="s">
        <v>8</v>
      </c>
      <c r="C154">
        <v>3992</v>
      </c>
      <c r="D154" t="s">
        <v>8</v>
      </c>
    </row>
    <row r="155" spans="1:4" x14ac:dyDescent="0.3">
      <c r="A155" s="1">
        <v>43008</v>
      </c>
      <c r="B155" t="s">
        <v>8</v>
      </c>
      <c r="C155">
        <v>4053</v>
      </c>
      <c r="D155" t="s">
        <v>8</v>
      </c>
    </row>
    <row r="156" spans="1:4" x14ac:dyDescent="0.3">
      <c r="A156" s="1">
        <v>43100</v>
      </c>
      <c r="B156" t="s">
        <v>8</v>
      </c>
      <c r="C156">
        <v>4092</v>
      </c>
      <c r="D156" t="s">
        <v>8</v>
      </c>
    </row>
    <row r="157" spans="1:4" x14ac:dyDescent="0.3">
      <c r="A157" s="1">
        <v>43190</v>
      </c>
      <c r="B157" t="s">
        <v>8</v>
      </c>
      <c r="C157">
        <v>4220</v>
      </c>
      <c r="D157" t="s">
        <v>8</v>
      </c>
    </row>
    <row r="158" spans="1:4" x14ac:dyDescent="0.3">
      <c r="A158" s="1">
        <v>43281</v>
      </c>
      <c r="B158" t="s">
        <v>8</v>
      </c>
      <c r="C158">
        <v>4178</v>
      </c>
      <c r="D158" t="s">
        <v>8</v>
      </c>
    </row>
    <row r="159" spans="1:4" x14ac:dyDescent="0.3">
      <c r="A159" s="1">
        <v>43373</v>
      </c>
      <c r="B159" t="s">
        <v>8</v>
      </c>
      <c r="C159">
        <v>4139</v>
      </c>
      <c r="D159" t="s">
        <v>8</v>
      </c>
    </row>
    <row r="160" spans="1:4" x14ac:dyDescent="0.3">
      <c r="A160" s="1">
        <v>43465</v>
      </c>
      <c r="B160" t="s">
        <v>8</v>
      </c>
      <c r="C160">
        <v>4256</v>
      </c>
      <c r="D160" t="s">
        <v>8</v>
      </c>
    </row>
    <row r="161" spans="1:4" x14ac:dyDescent="0.3">
      <c r="A161" s="1">
        <v>43555</v>
      </c>
      <c r="B161" t="s">
        <v>8</v>
      </c>
      <c r="C161">
        <v>4274</v>
      </c>
      <c r="D161" t="s">
        <v>8</v>
      </c>
    </row>
    <row r="162" spans="1:4" x14ac:dyDescent="0.3">
      <c r="A162" s="1">
        <v>43646</v>
      </c>
      <c r="B162" t="s">
        <v>8</v>
      </c>
      <c r="C162">
        <v>4477</v>
      </c>
      <c r="D162" t="s">
        <v>8</v>
      </c>
    </row>
    <row r="163" spans="1:4" x14ac:dyDescent="0.3">
      <c r="A163" s="1">
        <v>43738</v>
      </c>
      <c r="B163" t="s">
        <v>8</v>
      </c>
      <c r="C163">
        <v>4609</v>
      </c>
      <c r="D163" t="s">
        <v>8</v>
      </c>
    </row>
    <row r="164" spans="1:4" x14ac:dyDescent="0.3">
      <c r="A164" s="1">
        <v>43830</v>
      </c>
      <c r="B164" t="s">
        <v>8</v>
      </c>
      <c r="C164">
        <v>4745</v>
      </c>
      <c r="D164" t="s">
        <v>8</v>
      </c>
    </row>
    <row r="165" spans="1:4" x14ac:dyDescent="0.3">
      <c r="A165" s="1">
        <v>43921</v>
      </c>
      <c r="B165" t="s">
        <v>8</v>
      </c>
      <c r="C165">
        <v>4839</v>
      </c>
      <c r="D165" t="s">
        <v>8</v>
      </c>
    </row>
    <row r="166" spans="1:4" x14ac:dyDescent="0.3">
      <c r="A166" s="1">
        <v>44012</v>
      </c>
      <c r="B166" t="s">
        <v>8</v>
      </c>
      <c r="C166">
        <v>4816</v>
      </c>
      <c r="D166" t="s">
        <v>8</v>
      </c>
    </row>
    <row r="167" spans="1:4" x14ac:dyDescent="0.3">
      <c r="A167" s="1">
        <v>44104</v>
      </c>
      <c r="B167" t="s">
        <v>8</v>
      </c>
      <c r="C167">
        <v>5014</v>
      </c>
      <c r="D167" t="s">
        <v>8</v>
      </c>
    </row>
    <row r="168" spans="1:4" x14ac:dyDescent="0.3">
      <c r="A168" s="1">
        <v>44196</v>
      </c>
      <c r="B168" t="s">
        <v>8</v>
      </c>
      <c r="C168">
        <v>5101</v>
      </c>
      <c r="D168" t="s">
        <v>8</v>
      </c>
    </row>
    <row r="169" spans="1:4" x14ac:dyDescent="0.3">
      <c r="A169" s="1">
        <v>44286</v>
      </c>
      <c r="B169" t="s">
        <v>8</v>
      </c>
      <c r="C169">
        <v>5123</v>
      </c>
      <c r="D169" t="s">
        <v>8</v>
      </c>
    </row>
    <row r="170" spans="1:4" x14ac:dyDescent="0.3">
      <c r="A170" s="1">
        <v>44377</v>
      </c>
      <c r="B170" t="s">
        <v>8</v>
      </c>
      <c r="C170">
        <v>5223</v>
      </c>
      <c r="D170" t="s">
        <v>8</v>
      </c>
    </row>
    <row r="171" spans="1:4" x14ac:dyDescent="0.3">
      <c r="A171" s="1">
        <v>44469</v>
      </c>
      <c r="B171" t="s">
        <v>8</v>
      </c>
      <c r="C171">
        <v>5280</v>
      </c>
      <c r="D171" t="s">
        <v>8</v>
      </c>
    </row>
    <row r="172" spans="1:4" x14ac:dyDescent="0.3">
      <c r="A172" s="1">
        <v>44561</v>
      </c>
      <c r="B172" t="s">
        <v>8</v>
      </c>
      <c r="C172">
        <v>5384</v>
      </c>
      <c r="D172" t="s">
        <v>8</v>
      </c>
    </row>
    <row r="173" spans="1:4" x14ac:dyDescent="0.3">
      <c r="A173" s="1">
        <v>44651</v>
      </c>
      <c r="B173" t="s">
        <v>8</v>
      </c>
      <c r="C173">
        <v>5267</v>
      </c>
      <c r="D173" t="s">
        <v>8</v>
      </c>
    </row>
    <row r="174" spans="1:4" x14ac:dyDescent="0.3">
      <c r="A174" s="1">
        <v>44742</v>
      </c>
      <c r="B174" t="s">
        <v>8</v>
      </c>
      <c r="C174">
        <v>5218</v>
      </c>
      <c r="D174" t="s">
        <v>8</v>
      </c>
    </row>
    <row r="175" spans="1:4" x14ac:dyDescent="0.3">
      <c r="A175" s="1">
        <v>44834</v>
      </c>
      <c r="B175" t="s">
        <v>8</v>
      </c>
      <c r="C175">
        <v>5176</v>
      </c>
      <c r="D175" t="s">
        <v>8</v>
      </c>
    </row>
    <row r="176" spans="1:4" x14ac:dyDescent="0.3">
      <c r="A176" s="1">
        <v>44926</v>
      </c>
      <c r="B176" t="s">
        <v>8</v>
      </c>
      <c r="C176">
        <v>5153</v>
      </c>
      <c r="D176" t="s">
        <v>8</v>
      </c>
    </row>
    <row r="177" spans="1:4" x14ac:dyDescent="0.3">
      <c r="A177" s="1">
        <v>45016</v>
      </c>
      <c r="B177" t="s">
        <v>8</v>
      </c>
      <c r="C177">
        <v>5159</v>
      </c>
      <c r="D177" t="s">
        <v>8</v>
      </c>
    </row>
    <row r="178" spans="1:4" x14ac:dyDescent="0.3">
      <c r="A178" s="1">
        <v>45107</v>
      </c>
      <c r="B178" t="s">
        <v>8</v>
      </c>
      <c r="C178">
        <v>5448</v>
      </c>
      <c r="D178" t="s">
        <v>8</v>
      </c>
    </row>
    <row r="179" spans="1:4" x14ac:dyDescent="0.3">
      <c r="A179" s="1">
        <v>45199</v>
      </c>
      <c r="B179" t="s">
        <v>8</v>
      </c>
      <c r="C179">
        <v>5498</v>
      </c>
      <c r="D179" t="s">
        <v>8</v>
      </c>
    </row>
    <row r="180" spans="1:4" x14ac:dyDescent="0.3">
      <c r="A180" s="1">
        <v>45291</v>
      </c>
      <c r="B180" t="s">
        <v>8</v>
      </c>
      <c r="C180">
        <v>5729</v>
      </c>
      <c r="D180" t="s">
        <v>8</v>
      </c>
    </row>
    <row r="181" spans="1:4" x14ac:dyDescent="0.3">
      <c r="A181" s="1">
        <v>45382</v>
      </c>
      <c r="B181" t="s">
        <v>8</v>
      </c>
      <c r="C181">
        <v>5790</v>
      </c>
      <c r="D181" t="s">
        <v>8</v>
      </c>
    </row>
    <row r="182" spans="1:4" x14ac:dyDescent="0.3">
      <c r="A182" s="1">
        <v>45473</v>
      </c>
      <c r="B182" t="s">
        <v>8</v>
      </c>
      <c r="C182">
        <v>5874</v>
      </c>
      <c r="D182" t="s">
        <v>8</v>
      </c>
    </row>
    <row r="183" spans="1:4" x14ac:dyDescent="0.3">
      <c r="A183" s="1">
        <v>45565</v>
      </c>
      <c r="B183" t="s">
        <v>8</v>
      </c>
      <c r="C183">
        <v>5902</v>
      </c>
      <c r="D183" t="s">
        <v>8</v>
      </c>
    </row>
    <row r="184" spans="1:4" x14ac:dyDescent="0.3">
      <c r="A184" s="1">
        <v>45657</v>
      </c>
      <c r="B184" t="s">
        <v>8</v>
      </c>
      <c r="C184">
        <v>5817</v>
      </c>
      <c r="D184" t="s">
        <v>8</v>
      </c>
    </row>
    <row r="185" spans="1:4" x14ac:dyDescent="0.3">
      <c r="A185" s="1">
        <v>45747</v>
      </c>
      <c r="B185" t="s">
        <v>8</v>
      </c>
      <c r="C185">
        <v>5940</v>
      </c>
      <c r="D185" t="s">
        <v>8</v>
      </c>
    </row>
    <row r="186" spans="1:4" x14ac:dyDescent="0.3">
      <c r="A186" s="1">
        <v>45838</v>
      </c>
      <c r="B186" t="s">
        <v>8</v>
      </c>
      <c r="C186">
        <v>5990</v>
      </c>
      <c r="D186" t="s">
        <v>8</v>
      </c>
    </row>
    <row r="187" spans="1:4" x14ac:dyDescent="0.3">
      <c r="A187" s="1">
        <v>42551</v>
      </c>
      <c r="B187" t="s">
        <v>9</v>
      </c>
      <c r="C187">
        <v>901</v>
      </c>
      <c r="D187" t="s">
        <v>9</v>
      </c>
    </row>
    <row r="188" spans="1:4" x14ac:dyDescent="0.3">
      <c r="A188" s="1">
        <v>42643</v>
      </c>
      <c r="B188" t="s">
        <v>9</v>
      </c>
      <c r="C188">
        <v>927</v>
      </c>
      <c r="D188" t="s">
        <v>9</v>
      </c>
    </row>
    <row r="189" spans="1:4" x14ac:dyDescent="0.3">
      <c r="A189" s="1">
        <v>42735</v>
      </c>
      <c r="B189" t="s">
        <v>9</v>
      </c>
      <c r="C189">
        <v>967</v>
      </c>
      <c r="D189" t="s">
        <v>9</v>
      </c>
    </row>
    <row r="190" spans="1:4" x14ac:dyDescent="0.3">
      <c r="A190" s="1">
        <v>42825</v>
      </c>
      <c r="B190" t="s">
        <v>9</v>
      </c>
      <c r="C190">
        <v>927</v>
      </c>
      <c r="D190" t="s">
        <v>9</v>
      </c>
    </row>
    <row r="191" spans="1:4" x14ac:dyDescent="0.3">
      <c r="A191" s="1">
        <v>42916</v>
      </c>
      <c r="B191" t="s">
        <v>9</v>
      </c>
      <c r="C191">
        <v>936</v>
      </c>
      <c r="D191" t="s">
        <v>9</v>
      </c>
    </row>
    <row r="192" spans="1:4" x14ac:dyDescent="0.3">
      <c r="A192" s="1">
        <v>43008</v>
      </c>
      <c r="B192" t="s">
        <v>9</v>
      </c>
      <c r="C192">
        <v>911</v>
      </c>
      <c r="D192" t="s">
        <v>9</v>
      </c>
    </row>
    <row r="193" spans="1:4" x14ac:dyDescent="0.3">
      <c r="A193" s="1">
        <v>43100</v>
      </c>
      <c r="B193" t="s">
        <v>9</v>
      </c>
      <c r="C193">
        <v>998</v>
      </c>
      <c r="D193" t="s">
        <v>9</v>
      </c>
    </row>
    <row r="194" spans="1:4" x14ac:dyDescent="0.3">
      <c r="A194" s="1">
        <v>43190</v>
      </c>
      <c r="B194" t="s">
        <v>9</v>
      </c>
      <c r="C194">
        <v>960</v>
      </c>
      <c r="D194" t="s">
        <v>9</v>
      </c>
    </row>
    <row r="195" spans="1:4" x14ac:dyDescent="0.3">
      <c r="A195" s="1">
        <v>43281</v>
      </c>
      <c r="B195" t="s">
        <v>9</v>
      </c>
      <c r="C195">
        <v>1078</v>
      </c>
      <c r="D195" t="s">
        <v>9</v>
      </c>
    </row>
    <row r="196" spans="1:4" x14ac:dyDescent="0.3">
      <c r="A196" s="1">
        <v>43373</v>
      </c>
      <c r="B196" t="s">
        <v>9</v>
      </c>
      <c r="C196">
        <v>1094</v>
      </c>
      <c r="D196" t="s">
        <v>9</v>
      </c>
    </row>
    <row r="197" spans="1:4" x14ac:dyDescent="0.3">
      <c r="A197" s="1">
        <v>43465</v>
      </c>
      <c r="B197" t="s">
        <v>9</v>
      </c>
      <c r="C197">
        <v>1230</v>
      </c>
      <c r="D197" t="s">
        <v>9</v>
      </c>
    </row>
    <row r="198" spans="1:4" x14ac:dyDescent="0.3">
      <c r="A198" s="1">
        <v>43555</v>
      </c>
      <c r="B198" t="s">
        <v>9</v>
      </c>
      <c r="C198">
        <v>1149</v>
      </c>
      <c r="D198" t="s">
        <v>9</v>
      </c>
    </row>
    <row r="199" spans="1:4" x14ac:dyDescent="0.3">
      <c r="A199" s="1">
        <v>43646</v>
      </c>
      <c r="B199" t="s">
        <v>9</v>
      </c>
      <c r="C199">
        <v>1268</v>
      </c>
      <c r="D199" t="s">
        <v>9</v>
      </c>
    </row>
    <row r="200" spans="1:4" x14ac:dyDescent="0.3">
      <c r="A200" s="1">
        <v>43738</v>
      </c>
      <c r="B200" t="s">
        <v>9</v>
      </c>
      <c r="C200">
        <v>1287</v>
      </c>
      <c r="D200" t="s">
        <v>9</v>
      </c>
    </row>
    <row r="201" spans="1:4" x14ac:dyDescent="0.3">
      <c r="A201" s="1">
        <v>43830</v>
      </c>
      <c r="B201" t="s">
        <v>9</v>
      </c>
      <c r="C201">
        <v>1435</v>
      </c>
      <c r="D201" t="s">
        <v>9</v>
      </c>
    </row>
    <row r="202" spans="1:4" x14ac:dyDescent="0.3">
      <c r="A202" s="1">
        <v>43921</v>
      </c>
      <c r="B202" t="s">
        <v>9</v>
      </c>
      <c r="C202">
        <v>1448</v>
      </c>
      <c r="D202" t="s">
        <v>9</v>
      </c>
    </row>
    <row r="203" spans="1:4" x14ac:dyDescent="0.3">
      <c r="A203" s="1">
        <v>44012</v>
      </c>
      <c r="B203" t="s">
        <v>9</v>
      </c>
      <c r="C203">
        <v>1492</v>
      </c>
      <c r="D203" t="s">
        <v>9</v>
      </c>
    </row>
    <row r="204" spans="1:4" x14ac:dyDescent="0.3">
      <c r="A204" s="1">
        <v>44104</v>
      </c>
      <c r="B204" t="s">
        <v>9</v>
      </c>
      <c r="C204">
        <v>1606</v>
      </c>
      <c r="D204" t="s">
        <v>9</v>
      </c>
    </row>
    <row r="205" spans="1:4" x14ac:dyDescent="0.3">
      <c r="A205" s="1">
        <v>44196</v>
      </c>
      <c r="B205" t="s">
        <v>9</v>
      </c>
      <c r="C205">
        <v>1733</v>
      </c>
      <c r="D205" t="s">
        <v>9</v>
      </c>
    </row>
    <row r="206" spans="1:4" x14ac:dyDescent="0.3">
      <c r="A206" s="1">
        <v>44286</v>
      </c>
      <c r="B206" t="s">
        <v>9</v>
      </c>
      <c r="C206">
        <v>1673</v>
      </c>
      <c r="D206" t="s">
        <v>9</v>
      </c>
    </row>
    <row r="207" spans="1:4" x14ac:dyDescent="0.3">
      <c r="A207" s="1">
        <v>44377</v>
      </c>
      <c r="B207" t="s">
        <v>9</v>
      </c>
      <c r="C207">
        <v>1755</v>
      </c>
      <c r="D207" t="s">
        <v>9</v>
      </c>
    </row>
    <row r="208" spans="1:4" x14ac:dyDescent="0.3">
      <c r="A208" s="1">
        <v>44469</v>
      </c>
      <c r="B208" t="s">
        <v>9</v>
      </c>
      <c r="C208">
        <v>1641</v>
      </c>
      <c r="D208" t="s">
        <v>9</v>
      </c>
    </row>
    <row r="209" spans="1:4" x14ac:dyDescent="0.3">
      <c r="A209" s="1">
        <v>44561</v>
      </c>
      <c r="B209" t="s">
        <v>9</v>
      </c>
      <c r="C209">
        <v>1680</v>
      </c>
      <c r="D209" t="s">
        <v>9</v>
      </c>
    </row>
    <row r="210" spans="1:4" x14ac:dyDescent="0.3">
      <c r="A210" s="1">
        <v>44651</v>
      </c>
      <c r="B210" t="s">
        <v>9</v>
      </c>
      <c r="C210">
        <v>1437</v>
      </c>
      <c r="D210" t="s">
        <v>9</v>
      </c>
    </row>
    <row r="211" spans="1:4" x14ac:dyDescent="0.3">
      <c r="A211" s="1">
        <v>44742</v>
      </c>
      <c r="B211" t="s">
        <v>9</v>
      </c>
      <c r="C211">
        <v>1377</v>
      </c>
      <c r="D211" t="s">
        <v>9</v>
      </c>
    </row>
    <row r="212" spans="1:4" x14ac:dyDescent="0.3">
      <c r="A212" s="1">
        <v>44834</v>
      </c>
      <c r="B212" t="s">
        <v>9</v>
      </c>
      <c r="C212">
        <v>1250</v>
      </c>
      <c r="D212" t="s">
        <v>9</v>
      </c>
    </row>
    <row r="213" spans="1:4" x14ac:dyDescent="0.3">
      <c r="A213" s="1">
        <v>44926</v>
      </c>
      <c r="B213" t="s">
        <v>9</v>
      </c>
      <c r="C213">
        <v>1200</v>
      </c>
      <c r="D213" t="s">
        <v>9</v>
      </c>
    </row>
    <row r="214" spans="1:4" x14ac:dyDescent="0.3">
      <c r="A214" s="1">
        <v>45016</v>
      </c>
      <c r="B214" t="s">
        <v>9</v>
      </c>
      <c r="C214">
        <v>1094</v>
      </c>
      <c r="D214" t="s">
        <v>9</v>
      </c>
    </row>
    <row r="215" spans="1:4" x14ac:dyDescent="0.3">
      <c r="A215" s="1">
        <v>45107</v>
      </c>
      <c r="B215" t="s">
        <v>9</v>
      </c>
      <c r="C215">
        <v>1193</v>
      </c>
      <c r="D215" t="s">
        <v>9</v>
      </c>
    </row>
    <row r="216" spans="1:4" x14ac:dyDescent="0.3">
      <c r="A216" s="1">
        <v>45199</v>
      </c>
      <c r="B216" t="s">
        <v>9</v>
      </c>
      <c r="C216">
        <v>1179</v>
      </c>
      <c r="D216" t="s">
        <v>9</v>
      </c>
    </row>
    <row r="217" spans="1:4" x14ac:dyDescent="0.3">
      <c r="A217" s="1">
        <v>45291</v>
      </c>
      <c r="B217" t="s">
        <v>9</v>
      </c>
      <c r="C217">
        <v>1217</v>
      </c>
      <c r="D217" t="s">
        <v>9</v>
      </c>
    </row>
    <row r="218" spans="1:4" x14ac:dyDescent="0.3">
      <c r="A218" s="1">
        <v>45382</v>
      </c>
      <c r="B218" t="s">
        <v>9</v>
      </c>
      <c r="C218">
        <v>1135</v>
      </c>
      <c r="D218" t="s">
        <v>9</v>
      </c>
    </row>
    <row r="219" spans="1:4" x14ac:dyDescent="0.3">
      <c r="A219" s="1">
        <v>45473</v>
      </c>
      <c r="B219" t="s">
        <v>9</v>
      </c>
      <c r="C219">
        <v>1181</v>
      </c>
      <c r="D219" t="s">
        <v>9</v>
      </c>
    </row>
    <row r="220" spans="1:4" x14ac:dyDescent="0.3">
      <c r="A220" s="1">
        <v>45565</v>
      </c>
      <c r="B220" t="s">
        <v>9</v>
      </c>
      <c r="C220">
        <v>1085</v>
      </c>
      <c r="D220" t="s">
        <v>9</v>
      </c>
    </row>
    <row r="221" spans="1:4" x14ac:dyDescent="0.3">
      <c r="A221" s="1">
        <v>45657</v>
      </c>
      <c r="B221" t="s">
        <v>9</v>
      </c>
      <c r="C221">
        <v>1046</v>
      </c>
      <c r="D221" t="s">
        <v>9</v>
      </c>
    </row>
    <row r="222" spans="1:4" x14ac:dyDescent="0.3">
      <c r="A222" s="1">
        <v>45747</v>
      </c>
      <c r="B222" t="s">
        <v>9</v>
      </c>
      <c r="C222">
        <v>960</v>
      </c>
      <c r="D222" t="s">
        <v>9</v>
      </c>
    </row>
    <row r="223" spans="1:4" x14ac:dyDescent="0.3">
      <c r="A223" s="1">
        <v>45838</v>
      </c>
      <c r="B223" t="s">
        <v>9</v>
      </c>
      <c r="C223">
        <v>965</v>
      </c>
      <c r="D223" t="s">
        <v>9</v>
      </c>
    </row>
    <row r="224" spans="1:4" x14ac:dyDescent="0.3">
      <c r="A224" s="1">
        <v>42551</v>
      </c>
      <c r="B224" t="s">
        <v>10</v>
      </c>
      <c r="C224">
        <v>1176</v>
      </c>
      <c r="D224" t="s">
        <v>10</v>
      </c>
    </row>
    <row r="225" spans="1:4" x14ac:dyDescent="0.3">
      <c r="A225" s="1">
        <v>42643</v>
      </c>
      <c r="B225" t="s">
        <v>10</v>
      </c>
      <c r="C225">
        <v>1309</v>
      </c>
      <c r="D225" t="s">
        <v>10</v>
      </c>
    </row>
    <row r="226" spans="1:4" x14ac:dyDescent="0.3">
      <c r="A226" s="1">
        <v>42735</v>
      </c>
      <c r="B226" t="s">
        <v>10</v>
      </c>
      <c r="C226">
        <v>1223</v>
      </c>
      <c r="D226" t="s">
        <v>10</v>
      </c>
    </row>
    <row r="227" spans="1:4" x14ac:dyDescent="0.3">
      <c r="A227" s="1">
        <v>42825</v>
      </c>
      <c r="B227" t="s">
        <v>10</v>
      </c>
      <c r="C227">
        <v>1172</v>
      </c>
      <c r="D227" t="s">
        <v>10</v>
      </c>
    </row>
    <row r="228" spans="1:4" x14ac:dyDescent="0.3">
      <c r="A228" s="1">
        <v>42916</v>
      </c>
      <c r="B228" t="s">
        <v>10</v>
      </c>
      <c r="C228">
        <v>1134</v>
      </c>
      <c r="D228" t="s">
        <v>10</v>
      </c>
    </row>
    <row r="229" spans="1:4" x14ac:dyDescent="0.3">
      <c r="A229" s="1">
        <v>43008</v>
      </c>
      <c r="B229" t="s">
        <v>10</v>
      </c>
      <c r="C229">
        <v>1232</v>
      </c>
      <c r="D229" t="s">
        <v>10</v>
      </c>
    </row>
    <row r="230" spans="1:4" x14ac:dyDescent="0.3">
      <c r="A230" s="1">
        <v>43100</v>
      </c>
      <c r="B230" t="s">
        <v>10</v>
      </c>
      <c r="C230">
        <v>1379</v>
      </c>
      <c r="D230" t="s">
        <v>10</v>
      </c>
    </row>
    <row r="231" spans="1:4" x14ac:dyDescent="0.3">
      <c r="A231" s="1">
        <v>43190</v>
      </c>
      <c r="B231" t="s">
        <v>10</v>
      </c>
      <c r="C231">
        <v>1258</v>
      </c>
      <c r="D231" t="s">
        <v>10</v>
      </c>
    </row>
    <row r="232" spans="1:4" x14ac:dyDescent="0.3">
      <c r="A232" s="1">
        <v>43281</v>
      </c>
      <c r="B232" t="s">
        <v>10</v>
      </c>
      <c r="C232">
        <v>1202</v>
      </c>
      <c r="D232" t="s">
        <v>10</v>
      </c>
    </row>
    <row r="233" spans="1:4" x14ac:dyDescent="0.3">
      <c r="A233" s="1">
        <v>43373</v>
      </c>
      <c r="B233" t="s">
        <v>10</v>
      </c>
      <c r="C233">
        <v>1305</v>
      </c>
      <c r="D233" t="s">
        <v>10</v>
      </c>
    </row>
    <row r="234" spans="1:4" x14ac:dyDescent="0.3">
      <c r="A234" s="1">
        <v>43465</v>
      </c>
      <c r="B234" t="s">
        <v>10</v>
      </c>
      <c r="C234">
        <v>1192</v>
      </c>
      <c r="D234" t="s">
        <v>10</v>
      </c>
    </row>
    <row r="235" spans="1:4" x14ac:dyDescent="0.3">
      <c r="A235" s="1">
        <v>43555</v>
      </c>
      <c r="B235" t="s">
        <v>10</v>
      </c>
      <c r="C235">
        <v>1174</v>
      </c>
      <c r="D235" t="s">
        <v>10</v>
      </c>
    </row>
    <row r="236" spans="1:4" x14ac:dyDescent="0.3">
      <c r="A236" s="1">
        <v>43646</v>
      </c>
      <c r="B236" t="s">
        <v>10</v>
      </c>
      <c r="C236">
        <v>1216</v>
      </c>
      <c r="D236" t="s">
        <v>10</v>
      </c>
    </row>
    <row r="237" spans="1:4" x14ac:dyDescent="0.3">
      <c r="A237" s="1">
        <v>43738</v>
      </c>
      <c r="B237" t="s">
        <v>10</v>
      </c>
      <c r="C237">
        <v>1227</v>
      </c>
      <c r="D237" t="s">
        <v>10</v>
      </c>
    </row>
    <row r="238" spans="1:4" x14ac:dyDescent="0.3">
      <c r="A238" s="1">
        <v>43830</v>
      </c>
      <c r="B238" t="s">
        <v>10</v>
      </c>
      <c r="C238">
        <v>1321</v>
      </c>
      <c r="D238" t="s">
        <v>10</v>
      </c>
    </row>
    <row r="239" spans="1:4" x14ac:dyDescent="0.3">
      <c r="A239" s="1">
        <v>43921</v>
      </c>
      <c r="B239" t="s">
        <v>10</v>
      </c>
      <c r="C239">
        <v>1271</v>
      </c>
      <c r="D239" t="s">
        <v>10</v>
      </c>
    </row>
    <row r="240" spans="1:4" x14ac:dyDescent="0.3">
      <c r="A240" s="1">
        <v>44012</v>
      </c>
      <c r="B240" t="s">
        <v>10</v>
      </c>
      <c r="C240">
        <v>1180</v>
      </c>
      <c r="D240" t="s">
        <v>10</v>
      </c>
    </row>
    <row r="241" spans="1:4" x14ac:dyDescent="0.3">
      <c r="A241" s="1">
        <v>44104</v>
      </c>
      <c r="B241" t="s">
        <v>10</v>
      </c>
      <c r="C241">
        <v>1539</v>
      </c>
      <c r="D241" t="s">
        <v>10</v>
      </c>
    </row>
    <row r="242" spans="1:4" x14ac:dyDescent="0.3">
      <c r="A242" s="1">
        <v>44196</v>
      </c>
      <c r="B242" t="s">
        <v>10</v>
      </c>
      <c r="C242">
        <v>1382</v>
      </c>
      <c r="D242" t="s">
        <v>10</v>
      </c>
    </row>
    <row r="243" spans="1:4" x14ac:dyDescent="0.3">
      <c r="A243" s="1">
        <v>44286</v>
      </c>
      <c r="B243" t="s">
        <v>10</v>
      </c>
      <c r="C243">
        <v>1493</v>
      </c>
      <c r="D243" t="s">
        <v>10</v>
      </c>
    </row>
    <row r="244" spans="1:4" x14ac:dyDescent="0.3">
      <c r="A244" s="1">
        <v>44377</v>
      </c>
      <c r="B244" t="s">
        <v>10</v>
      </c>
      <c r="C244">
        <v>1478</v>
      </c>
      <c r="D244" t="s">
        <v>10</v>
      </c>
    </row>
    <row r="245" spans="1:4" x14ac:dyDescent="0.3">
      <c r="A245" s="1">
        <v>44469</v>
      </c>
      <c r="B245" t="s">
        <v>10</v>
      </c>
      <c r="C245">
        <v>1341</v>
      </c>
      <c r="D245" t="s">
        <v>10</v>
      </c>
    </row>
    <row r="246" spans="1:4" x14ac:dyDescent="0.3">
      <c r="A246" s="1">
        <v>44561</v>
      </c>
      <c r="B246" t="s">
        <v>10</v>
      </c>
      <c r="C246">
        <v>1126</v>
      </c>
      <c r="D246" t="s">
        <v>10</v>
      </c>
    </row>
    <row r="247" spans="1:4" x14ac:dyDescent="0.3">
      <c r="A247" s="1">
        <v>44651</v>
      </c>
      <c r="B247" t="s">
        <v>10</v>
      </c>
      <c r="C247">
        <v>932</v>
      </c>
      <c r="D247" t="s">
        <v>10</v>
      </c>
    </row>
    <row r="248" spans="1:4" x14ac:dyDescent="0.3">
      <c r="A248" s="1">
        <v>44742</v>
      </c>
      <c r="B248" t="s">
        <v>10</v>
      </c>
      <c r="C248">
        <v>967</v>
      </c>
      <c r="D248" t="s">
        <v>10</v>
      </c>
    </row>
    <row r="249" spans="1:4" x14ac:dyDescent="0.3">
      <c r="A249" s="1">
        <v>44834</v>
      </c>
      <c r="B249" t="s">
        <v>10</v>
      </c>
      <c r="C249">
        <v>1108</v>
      </c>
      <c r="D249" t="s">
        <v>10</v>
      </c>
    </row>
    <row r="250" spans="1:4" x14ac:dyDescent="0.3">
      <c r="A250" s="1">
        <v>44926</v>
      </c>
      <c r="B250" t="s">
        <v>10</v>
      </c>
      <c r="C250">
        <v>1159</v>
      </c>
      <c r="D250" t="s">
        <v>10</v>
      </c>
    </row>
    <row r="251" spans="1:4" x14ac:dyDescent="0.3">
      <c r="A251" s="1">
        <v>45016</v>
      </c>
      <c r="B251" t="s">
        <v>10</v>
      </c>
      <c r="C251">
        <v>1203</v>
      </c>
      <c r="D251" t="s">
        <v>10</v>
      </c>
    </row>
    <row r="252" spans="1:4" x14ac:dyDescent="0.3">
      <c r="A252" s="1">
        <v>45107</v>
      </c>
      <c r="B252" t="s">
        <v>10</v>
      </c>
      <c r="C252">
        <v>1152</v>
      </c>
      <c r="D252" t="s">
        <v>10</v>
      </c>
    </row>
    <row r="253" spans="1:4" x14ac:dyDescent="0.3">
      <c r="A253" s="1">
        <v>45199</v>
      </c>
      <c r="B253" t="s">
        <v>10</v>
      </c>
      <c r="C253">
        <v>1192</v>
      </c>
      <c r="D253" t="s">
        <v>10</v>
      </c>
    </row>
    <row r="254" spans="1:4" x14ac:dyDescent="0.3">
      <c r="A254" s="1">
        <v>45291</v>
      </c>
      <c r="B254" t="s">
        <v>10</v>
      </c>
      <c r="C254">
        <v>1129</v>
      </c>
      <c r="D254" t="s">
        <v>10</v>
      </c>
    </row>
    <row r="255" spans="1:4" x14ac:dyDescent="0.3">
      <c r="A255" s="1">
        <v>45382</v>
      </c>
      <c r="B255" t="s">
        <v>10</v>
      </c>
      <c r="C255">
        <v>1113</v>
      </c>
      <c r="D255" t="s">
        <v>10</v>
      </c>
    </row>
    <row r="256" spans="1:4" x14ac:dyDescent="0.3">
      <c r="A256" s="1">
        <v>45473</v>
      </c>
      <c r="B256" t="s">
        <v>10</v>
      </c>
      <c r="C256">
        <v>1115</v>
      </c>
      <c r="D256" t="s">
        <v>10</v>
      </c>
    </row>
    <row r="257" spans="1:4" x14ac:dyDescent="0.3">
      <c r="A257" s="1">
        <v>45565</v>
      </c>
      <c r="B257" t="s">
        <v>10</v>
      </c>
      <c r="C257">
        <v>1143</v>
      </c>
      <c r="D257" t="s">
        <v>10</v>
      </c>
    </row>
    <row r="258" spans="1:4" x14ac:dyDescent="0.3">
      <c r="A258" s="1">
        <v>45657</v>
      </c>
      <c r="B258" t="s">
        <v>10</v>
      </c>
      <c r="C258">
        <v>1043</v>
      </c>
      <c r="D258" t="s">
        <v>10</v>
      </c>
    </row>
    <row r="259" spans="1:4" x14ac:dyDescent="0.3">
      <c r="A259" s="1">
        <v>45747</v>
      </c>
      <c r="B259" t="s">
        <v>10</v>
      </c>
      <c r="C259">
        <v>1140</v>
      </c>
      <c r="D259" t="s">
        <v>10</v>
      </c>
    </row>
    <row r="260" spans="1:4" x14ac:dyDescent="0.3">
      <c r="A260" s="1">
        <v>45838</v>
      </c>
      <c r="B260" t="s">
        <v>10</v>
      </c>
      <c r="C260">
        <v>1183</v>
      </c>
      <c r="D260" t="s">
        <v>10</v>
      </c>
    </row>
    <row r="261" spans="1:4" x14ac:dyDescent="0.3">
      <c r="A261" s="1">
        <v>42551</v>
      </c>
      <c r="B261" t="s">
        <v>11</v>
      </c>
      <c r="C261">
        <v>10469</v>
      </c>
      <c r="D261" t="s">
        <v>11</v>
      </c>
    </row>
    <row r="262" spans="1:4" x14ac:dyDescent="0.3">
      <c r="A262" s="1">
        <v>42643</v>
      </c>
      <c r="B262" t="s">
        <v>11</v>
      </c>
      <c r="C262">
        <v>10561</v>
      </c>
      <c r="D262" t="s">
        <v>11</v>
      </c>
    </row>
    <row r="263" spans="1:4" x14ac:dyDescent="0.3">
      <c r="A263" s="1">
        <v>42735</v>
      </c>
      <c r="B263" t="s">
        <v>11</v>
      </c>
      <c r="C263">
        <v>11071</v>
      </c>
      <c r="D263" t="s">
        <v>11</v>
      </c>
    </row>
    <row r="264" spans="1:4" x14ac:dyDescent="0.3">
      <c r="A264" s="1">
        <v>42825</v>
      </c>
      <c r="B264" t="s">
        <v>11</v>
      </c>
      <c r="C264">
        <v>11461</v>
      </c>
      <c r="D264" t="s">
        <v>11</v>
      </c>
    </row>
    <row r="265" spans="1:4" x14ac:dyDescent="0.3">
      <c r="A265" s="1">
        <v>42916</v>
      </c>
      <c r="B265" t="s">
        <v>11</v>
      </c>
      <c r="C265">
        <v>11296</v>
      </c>
      <c r="D265" t="s">
        <v>11</v>
      </c>
    </row>
    <row r="266" spans="1:4" x14ac:dyDescent="0.3">
      <c r="A266" s="1">
        <v>43008</v>
      </c>
      <c r="B266" t="s">
        <v>11</v>
      </c>
      <c r="C266">
        <v>11578</v>
      </c>
      <c r="D266" t="s">
        <v>11</v>
      </c>
    </row>
    <row r="267" spans="1:4" x14ac:dyDescent="0.3">
      <c r="A267" s="1">
        <v>43100</v>
      </c>
      <c r="B267" t="s">
        <v>11</v>
      </c>
      <c r="C267">
        <v>11923</v>
      </c>
      <c r="D267" t="s">
        <v>11</v>
      </c>
    </row>
    <row r="268" spans="1:4" x14ac:dyDescent="0.3">
      <c r="A268" s="1">
        <v>43190</v>
      </c>
      <c r="B268" t="s">
        <v>11</v>
      </c>
      <c r="C268">
        <v>12120</v>
      </c>
      <c r="D268" t="s">
        <v>11</v>
      </c>
    </row>
    <row r="269" spans="1:4" x14ac:dyDescent="0.3">
      <c r="A269" s="1">
        <v>43281</v>
      </c>
      <c r="B269" t="s">
        <v>11</v>
      </c>
      <c r="C269">
        <v>12355</v>
      </c>
      <c r="D269" t="s">
        <v>11</v>
      </c>
    </row>
    <row r="270" spans="1:4" x14ac:dyDescent="0.3">
      <c r="A270" s="1">
        <v>43373</v>
      </c>
      <c r="B270" t="s">
        <v>11</v>
      </c>
      <c r="C270">
        <v>12349</v>
      </c>
      <c r="D270" t="s">
        <v>11</v>
      </c>
    </row>
    <row r="271" spans="1:4" x14ac:dyDescent="0.3">
      <c r="A271" s="1">
        <v>43465</v>
      </c>
      <c r="B271" t="s">
        <v>11</v>
      </c>
      <c r="C271">
        <v>12582</v>
      </c>
      <c r="D271" t="s">
        <v>11</v>
      </c>
    </row>
    <row r="272" spans="1:4" x14ac:dyDescent="0.3">
      <c r="A272" s="1">
        <v>43555</v>
      </c>
      <c r="B272" t="s">
        <v>11</v>
      </c>
      <c r="C272">
        <v>12732</v>
      </c>
      <c r="D272" t="s">
        <v>11</v>
      </c>
    </row>
    <row r="273" spans="1:4" x14ac:dyDescent="0.3">
      <c r="A273" s="1">
        <v>43646</v>
      </c>
      <c r="B273" t="s">
        <v>11</v>
      </c>
      <c r="C273">
        <v>13318</v>
      </c>
      <c r="D273" t="s">
        <v>11</v>
      </c>
    </row>
    <row r="274" spans="1:4" x14ac:dyDescent="0.3">
      <c r="A274" s="1">
        <v>43738</v>
      </c>
      <c r="B274" t="s">
        <v>11</v>
      </c>
      <c r="C274">
        <v>13598</v>
      </c>
      <c r="D274" t="s">
        <v>11</v>
      </c>
    </row>
    <row r="275" spans="1:4" x14ac:dyDescent="0.3">
      <c r="A275" s="1">
        <v>43830</v>
      </c>
      <c r="B275" t="s">
        <v>11</v>
      </c>
      <c r="C275">
        <v>13973</v>
      </c>
      <c r="D275" t="s">
        <v>11</v>
      </c>
    </row>
    <row r="276" spans="1:4" x14ac:dyDescent="0.3">
      <c r="A276" s="1">
        <v>43921</v>
      </c>
      <c r="B276" t="s">
        <v>11</v>
      </c>
      <c r="C276">
        <v>13764</v>
      </c>
      <c r="D276" t="s">
        <v>11</v>
      </c>
    </row>
    <row r="277" spans="1:4" x14ac:dyDescent="0.3">
      <c r="A277" s="1">
        <v>44012</v>
      </c>
      <c r="B277" t="s">
        <v>11</v>
      </c>
      <c r="C277">
        <v>14427</v>
      </c>
      <c r="D277" t="s">
        <v>11</v>
      </c>
    </row>
    <row r="278" spans="1:4" x14ac:dyDescent="0.3">
      <c r="A278" s="1">
        <v>44104</v>
      </c>
      <c r="B278" t="s">
        <v>11</v>
      </c>
      <c r="C278">
        <v>14901</v>
      </c>
      <c r="D278" t="s">
        <v>11</v>
      </c>
    </row>
    <row r="279" spans="1:4" x14ac:dyDescent="0.3">
      <c r="A279" s="1">
        <v>44196</v>
      </c>
      <c r="B279" t="s">
        <v>11</v>
      </c>
      <c r="C279">
        <v>15096</v>
      </c>
      <c r="D279" t="s">
        <v>11</v>
      </c>
    </row>
    <row r="280" spans="1:4" x14ac:dyDescent="0.3">
      <c r="A280" s="1">
        <v>44286</v>
      </c>
      <c r="B280" t="s">
        <v>11</v>
      </c>
      <c r="C280">
        <v>15573</v>
      </c>
      <c r="D280" t="s">
        <v>11</v>
      </c>
    </row>
    <row r="281" spans="1:4" x14ac:dyDescent="0.3">
      <c r="A281" s="1">
        <v>44377</v>
      </c>
      <c r="B281" t="s">
        <v>11</v>
      </c>
      <c r="C281">
        <v>15921</v>
      </c>
      <c r="D281" t="s">
        <v>11</v>
      </c>
    </row>
    <row r="282" spans="1:4" x14ac:dyDescent="0.3">
      <c r="A282" s="1">
        <v>44469</v>
      </c>
      <c r="B282" t="s">
        <v>11</v>
      </c>
      <c r="C282">
        <v>16464</v>
      </c>
      <c r="D282" t="s">
        <v>11</v>
      </c>
    </row>
    <row r="283" spans="1:4" x14ac:dyDescent="0.3">
      <c r="A283" s="1">
        <v>44561</v>
      </c>
      <c r="B283" t="s">
        <v>11</v>
      </c>
      <c r="C283">
        <v>16984</v>
      </c>
      <c r="D283" t="s">
        <v>11</v>
      </c>
    </row>
    <row r="284" spans="1:4" x14ac:dyDescent="0.3">
      <c r="A284" s="1">
        <v>44651</v>
      </c>
      <c r="B284" t="s">
        <v>11</v>
      </c>
      <c r="C284">
        <v>17100</v>
      </c>
      <c r="D284" t="s">
        <v>11</v>
      </c>
    </row>
    <row r="285" spans="1:4" x14ac:dyDescent="0.3">
      <c r="A285" s="1">
        <v>44742</v>
      </c>
      <c r="B285" t="s">
        <v>11</v>
      </c>
      <c r="C285">
        <v>16605</v>
      </c>
      <c r="D285" t="s">
        <v>11</v>
      </c>
    </row>
    <row r="286" spans="1:4" x14ac:dyDescent="0.3">
      <c r="A286" s="1">
        <v>44834</v>
      </c>
      <c r="B286" t="s">
        <v>11</v>
      </c>
      <c r="C286">
        <v>16023</v>
      </c>
      <c r="D286" t="s">
        <v>11</v>
      </c>
    </row>
    <row r="287" spans="1:4" x14ac:dyDescent="0.3">
      <c r="A287" s="1">
        <v>44926</v>
      </c>
      <c r="B287" t="s">
        <v>11</v>
      </c>
      <c r="C287">
        <v>15889</v>
      </c>
      <c r="D287" t="s">
        <v>11</v>
      </c>
    </row>
    <row r="288" spans="1:4" x14ac:dyDescent="0.3">
      <c r="A288" s="1">
        <v>45016</v>
      </c>
      <c r="B288" t="s">
        <v>11</v>
      </c>
      <c r="C288">
        <v>16106</v>
      </c>
      <c r="D288" t="s">
        <v>11</v>
      </c>
    </row>
    <row r="289" spans="1:4" x14ac:dyDescent="0.3">
      <c r="A289" s="1">
        <v>45107</v>
      </c>
      <c r="B289" t="s">
        <v>11</v>
      </c>
      <c r="C289">
        <v>16883</v>
      </c>
      <c r="D289" t="s">
        <v>11</v>
      </c>
    </row>
    <row r="290" spans="1:4" x14ac:dyDescent="0.3">
      <c r="A290" s="1">
        <v>45199</v>
      </c>
      <c r="B290" t="s">
        <v>11</v>
      </c>
      <c r="C290">
        <v>17045</v>
      </c>
      <c r="D290" t="s">
        <v>11</v>
      </c>
    </row>
    <row r="291" spans="1:4" x14ac:dyDescent="0.3">
      <c r="A291" s="1">
        <v>45291</v>
      </c>
      <c r="B291" t="s">
        <v>11</v>
      </c>
      <c r="C291">
        <v>17055</v>
      </c>
      <c r="D291" t="s">
        <v>11</v>
      </c>
    </row>
    <row r="292" spans="1:4" x14ac:dyDescent="0.3">
      <c r="A292" s="1">
        <v>45382</v>
      </c>
      <c r="B292" t="s">
        <v>11</v>
      </c>
      <c r="C292">
        <v>17363</v>
      </c>
      <c r="D292" t="s">
        <v>11</v>
      </c>
    </row>
    <row r="293" spans="1:4" x14ac:dyDescent="0.3">
      <c r="A293" s="1">
        <v>45473</v>
      </c>
      <c r="B293" t="s">
        <v>11</v>
      </c>
      <c r="C293">
        <v>17095</v>
      </c>
      <c r="D293" t="s">
        <v>11</v>
      </c>
    </row>
    <row r="294" spans="1:4" x14ac:dyDescent="0.3">
      <c r="A294" s="1">
        <v>45565</v>
      </c>
      <c r="B294" t="s">
        <v>11</v>
      </c>
      <c r="C294">
        <v>17301</v>
      </c>
      <c r="D294" t="s">
        <v>11</v>
      </c>
    </row>
    <row r="295" spans="1:4" x14ac:dyDescent="0.3">
      <c r="A295" s="1">
        <v>45657</v>
      </c>
      <c r="B295" t="s">
        <v>11</v>
      </c>
      <c r="C295">
        <v>17760</v>
      </c>
      <c r="D295" t="s">
        <v>11</v>
      </c>
    </row>
    <row r="296" spans="1:4" x14ac:dyDescent="0.3">
      <c r="A296" s="1">
        <v>45747</v>
      </c>
      <c r="B296" t="s">
        <v>11</v>
      </c>
      <c r="C296">
        <v>17837</v>
      </c>
      <c r="D296" t="s">
        <v>11</v>
      </c>
    </row>
    <row r="297" spans="1:4" x14ac:dyDescent="0.3">
      <c r="A297" s="1">
        <v>45838</v>
      </c>
      <c r="B297" t="s">
        <v>11</v>
      </c>
      <c r="C297">
        <v>18396</v>
      </c>
      <c r="D297" t="s">
        <v>11</v>
      </c>
    </row>
    <row r="298" spans="1:4" x14ac:dyDescent="0.3">
      <c r="A298" s="1">
        <v>42551</v>
      </c>
      <c r="B298" t="s">
        <v>12</v>
      </c>
      <c r="C298">
        <v>1718</v>
      </c>
      <c r="D298" t="s">
        <v>12</v>
      </c>
    </row>
    <row r="299" spans="1:4" x14ac:dyDescent="0.3">
      <c r="A299" s="1">
        <v>42643</v>
      </c>
      <c r="B299" t="s">
        <v>12</v>
      </c>
      <c r="C299">
        <v>1749</v>
      </c>
      <c r="D299" t="s">
        <v>12</v>
      </c>
    </row>
    <row r="300" spans="1:4" x14ac:dyDescent="0.3">
      <c r="A300" s="1">
        <v>42735</v>
      </c>
      <c r="B300" t="s">
        <v>12</v>
      </c>
      <c r="C300">
        <v>1742</v>
      </c>
      <c r="D300" t="s">
        <v>12</v>
      </c>
    </row>
    <row r="301" spans="1:4" x14ac:dyDescent="0.3">
      <c r="A301" s="1">
        <v>42825</v>
      </c>
      <c r="B301" t="s">
        <v>12</v>
      </c>
      <c r="C301">
        <v>1701</v>
      </c>
      <c r="D301" t="s">
        <v>12</v>
      </c>
    </row>
    <row r="302" spans="1:4" x14ac:dyDescent="0.3">
      <c r="A302" s="1">
        <v>42916</v>
      </c>
      <c r="B302" t="s">
        <v>12</v>
      </c>
      <c r="C302">
        <v>1719</v>
      </c>
      <c r="D302" t="s">
        <v>12</v>
      </c>
    </row>
    <row r="303" spans="1:4" x14ac:dyDescent="0.3">
      <c r="A303" s="1">
        <v>43008</v>
      </c>
      <c r="B303" t="s">
        <v>12</v>
      </c>
      <c r="C303">
        <v>1697</v>
      </c>
      <c r="D303" t="s">
        <v>12</v>
      </c>
    </row>
    <row r="304" spans="1:4" x14ac:dyDescent="0.3">
      <c r="A304" s="1">
        <v>43100</v>
      </c>
      <c r="B304" t="s">
        <v>12</v>
      </c>
      <c r="C304">
        <v>1698</v>
      </c>
      <c r="D304" t="s">
        <v>12</v>
      </c>
    </row>
    <row r="305" spans="1:4" x14ac:dyDescent="0.3">
      <c r="A305" s="1">
        <v>43190</v>
      </c>
      <c r="B305" t="s">
        <v>12</v>
      </c>
      <c r="C305">
        <v>1705</v>
      </c>
      <c r="D305" t="s">
        <v>12</v>
      </c>
    </row>
    <row r="306" spans="1:4" x14ac:dyDescent="0.3">
      <c r="A306" s="1">
        <v>43281</v>
      </c>
      <c r="B306" t="s">
        <v>12</v>
      </c>
      <c r="C306">
        <v>1730</v>
      </c>
      <c r="D306" t="s">
        <v>12</v>
      </c>
    </row>
    <row r="307" spans="1:4" x14ac:dyDescent="0.3">
      <c r="A307" s="1">
        <v>43373</v>
      </c>
      <c r="B307" t="s">
        <v>12</v>
      </c>
      <c r="C307">
        <v>1765</v>
      </c>
      <c r="D307" t="s">
        <v>12</v>
      </c>
    </row>
    <row r="308" spans="1:4" x14ac:dyDescent="0.3">
      <c r="A308" s="1">
        <v>43465</v>
      </c>
      <c r="B308" t="s">
        <v>12</v>
      </c>
      <c r="C308">
        <v>1787</v>
      </c>
      <c r="D308" t="s">
        <v>12</v>
      </c>
    </row>
    <row r="309" spans="1:4" x14ac:dyDescent="0.3">
      <c r="A309" s="1">
        <v>43555</v>
      </c>
      <c r="B309" t="s">
        <v>12</v>
      </c>
      <c r="C309">
        <v>1772</v>
      </c>
      <c r="D309" t="s">
        <v>12</v>
      </c>
    </row>
    <row r="310" spans="1:4" x14ac:dyDescent="0.3">
      <c r="A310" s="1">
        <v>43646</v>
      </c>
      <c r="B310" t="s">
        <v>12</v>
      </c>
      <c r="C310">
        <v>1744</v>
      </c>
      <c r="D310" t="s">
        <v>12</v>
      </c>
    </row>
    <row r="311" spans="1:4" x14ac:dyDescent="0.3">
      <c r="A311" s="1">
        <v>43738</v>
      </c>
      <c r="B311" t="s">
        <v>12</v>
      </c>
      <c r="C311">
        <v>1667</v>
      </c>
      <c r="D311" t="s">
        <v>12</v>
      </c>
    </row>
    <row r="312" spans="1:4" x14ac:dyDescent="0.3">
      <c r="A312" s="1">
        <v>43830</v>
      </c>
      <c r="B312" t="s">
        <v>12</v>
      </c>
      <c r="C312">
        <v>1596</v>
      </c>
      <c r="D312" t="s">
        <v>12</v>
      </c>
    </row>
    <row r="313" spans="1:4" x14ac:dyDescent="0.3">
      <c r="A313" s="1">
        <v>43921</v>
      </c>
      <c r="B313" t="s">
        <v>12</v>
      </c>
      <c r="C313">
        <v>1566</v>
      </c>
      <c r="D313" t="s">
        <v>12</v>
      </c>
    </row>
    <row r="314" spans="1:4" x14ac:dyDescent="0.3">
      <c r="A314" s="1">
        <v>44012</v>
      </c>
      <c r="B314" t="s">
        <v>12</v>
      </c>
      <c r="C314">
        <v>1464</v>
      </c>
      <c r="D314" t="s">
        <v>12</v>
      </c>
    </row>
    <row r="315" spans="1:4" x14ac:dyDescent="0.3">
      <c r="A315" s="1">
        <v>44104</v>
      </c>
      <c r="B315" t="s">
        <v>12</v>
      </c>
      <c r="C315">
        <v>1368</v>
      </c>
      <c r="D315" t="s">
        <v>12</v>
      </c>
    </row>
    <row r="316" spans="1:4" x14ac:dyDescent="0.3">
      <c r="A316" s="1">
        <v>44196</v>
      </c>
      <c r="B316" t="s">
        <v>12</v>
      </c>
      <c r="C316">
        <v>1293</v>
      </c>
      <c r="D316" t="s">
        <v>12</v>
      </c>
    </row>
    <row r="317" spans="1:4" x14ac:dyDescent="0.3">
      <c r="A317" s="1">
        <v>44286</v>
      </c>
      <c r="B317" t="s">
        <v>12</v>
      </c>
      <c r="C317">
        <v>1222</v>
      </c>
      <c r="D317" t="s">
        <v>12</v>
      </c>
    </row>
    <row r="318" spans="1:4" x14ac:dyDescent="0.3">
      <c r="A318" s="1">
        <v>44377</v>
      </c>
      <c r="B318" t="s">
        <v>12</v>
      </c>
      <c r="C318">
        <v>1181</v>
      </c>
      <c r="D318" t="s">
        <v>12</v>
      </c>
    </row>
    <row r="319" spans="1:4" x14ac:dyDescent="0.3">
      <c r="A319" s="1">
        <v>44469</v>
      </c>
      <c r="B319" t="s">
        <v>12</v>
      </c>
      <c r="C319">
        <v>1134</v>
      </c>
      <c r="D319" t="s">
        <v>12</v>
      </c>
    </row>
    <row r="320" spans="1:4" x14ac:dyDescent="0.3">
      <c r="A320" s="1">
        <v>44561</v>
      </c>
      <c r="B320" t="s">
        <v>12</v>
      </c>
      <c r="C320">
        <v>1169</v>
      </c>
      <c r="D320" t="s">
        <v>12</v>
      </c>
    </row>
    <row r="321" spans="1:4" x14ac:dyDescent="0.3">
      <c r="A321" s="1">
        <v>44651</v>
      </c>
      <c r="B321" t="s">
        <v>12</v>
      </c>
      <c r="C321">
        <v>1241</v>
      </c>
      <c r="D321" t="s">
        <v>12</v>
      </c>
    </row>
    <row r="322" spans="1:4" x14ac:dyDescent="0.3">
      <c r="A322" s="1">
        <v>44742</v>
      </c>
      <c r="B322" t="s">
        <v>12</v>
      </c>
      <c r="C322">
        <v>1401</v>
      </c>
      <c r="D322" t="s">
        <v>12</v>
      </c>
    </row>
    <row r="323" spans="1:4" x14ac:dyDescent="0.3">
      <c r="A323" s="1">
        <v>44834</v>
      </c>
      <c r="B323" t="s">
        <v>12</v>
      </c>
      <c r="C323">
        <v>1701</v>
      </c>
      <c r="D323" t="s">
        <v>12</v>
      </c>
    </row>
    <row r="324" spans="1:4" x14ac:dyDescent="0.3">
      <c r="A324" s="1">
        <v>44926</v>
      </c>
      <c r="B324" t="s">
        <v>12</v>
      </c>
      <c r="C324">
        <v>2036</v>
      </c>
      <c r="D324" t="s">
        <v>12</v>
      </c>
    </row>
    <row r="325" spans="1:4" x14ac:dyDescent="0.3">
      <c r="A325" s="1">
        <v>45016</v>
      </c>
      <c r="B325" t="s">
        <v>12</v>
      </c>
      <c r="C325">
        <v>2337</v>
      </c>
      <c r="D325" t="s">
        <v>12</v>
      </c>
    </row>
    <row r="326" spans="1:4" x14ac:dyDescent="0.3">
      <c r="A326" s="1">
        <v>45107</v>
      </c>
      <c r="B326" t="s">
        <v>12</v>
      </c>
      <c r="C326">
        <v>2602</v>
      </c>
      <c r="D326" t="s">
        <v>12</v>
      </c>
    </row>
    <row r="327" spans="1:4" x14ac:dyDescent="0.3">
      <c r="A327" s="1">
        <v>45199</v>
      </c>
      <c r="B327" t="s">
        <v>12</v>
      </c>
      <c r="C327">
        <v>2822</v>
      </c>
      <c r="D327" t="s">
        <v>12</v>
      </c>
    </row>
    <row r="328" spans="1:4" x14ac:dyDescent="0.3">
      <c r="A328" s="1">
        <v>45291</v>
      </c>
      <c r="B328" t="s">
        <v>12</v>
      </c>
      <c r="C328">
        <v>2969</v>
      </c>
      <c r="D328" t="s">
        <v>12</v>
      </c>
    </row>
    <row r="329" spans="1:4" x14ac:dyDescent="0.3">
      <c r="A329" s="1">
        <v>45382</v>
      </c>
      <c r="B329" t="s">
        <v>12</v>
      </c>
      <c r="C329">
        <v>3058</v>
      </c>
      <c r="D329" t="s">
        <v>12</v>
      </c>
    </row>
    <row r="330" spans="1:4" x14ac:dyDescent="0.3">
      <c r="A330" s="1">
        <v>45473</v>
      </c>
      <c r="B330" t="s">
        <v>12</v>
      </c>
      <c r="C330">
        <v>3131</v>
      </c>
      <c r="D330" t="s">
        <v>12</v>
      </c>
    </row>
    <row r="331" spans="1:4" x14ac:dyDescent="0.3">
      <c r="A331" s="1">
        <v>45565</v>
      </c>
      <c r="B331" t="s">
        <v>12</v>
      </c>
      <c r="C331">
        <v>3156</v>
      </c>
      <c r="D331" t="s">
        <v>12</v>
      </c>
    </row>
    <row r="332" spans="1:4" x14ac:dyDescent="0.3">
      <c r="A332" s="1">
        <v>45657</v>
      </c>
      <c r="B332" t="s">
        <v>12</v>
      </c>
      <c r="C332">
        <v>3013</v>
      </c>
      <c r="D332" t="s">
        <v>12</v>
      </c>
    </row>
    <row r="333" spans="1:4" x14ac:dyDescent="0.3">
      <c r="A333" s="1">
        <v>45747</v>
      </c>
      <c r="B333" t="s">
        <v>12</v>
      </c>
      <c r="C333">
        <v>2815</v>
      </c>
      <c r="D333" t="s">
        <v>12</v>
      </c>
    </row>
    <row r="334" spans="1:4" x14ac:dyDescent="0.3">
      <c r="A334" s="1">
        <v>45838</v>
      </c>
      <c r="B334" t="s">
        <v>12</v>
      </c>
      <c r="C334">
        <v>2594</v>
      </c>
      <c r="D334" t="s">
        <v>12</v>
      </c>
    </row>
    <row r="335" spans="1:4" x14ac:dyDescent="0.3">
      <c r="A335" s="1">
        <v>42551</v>
      </c>
      <c r="B335" t="s">
        <v>13</v>
      </c>
      <c r="C335">
        <v>4132</v>
      </c>
      <c r="D335" t="s">
        <v>13</v>
      </c>
    </row>
    <row r="336" spans="1:4" x14ac:dyDescent="0.3">
      <c r="A336" s="1">
        <v>42643</v>
      </c>
      <c r="B336" t="s">
        <v>13</v>
      </c>
      <c r="C336">
        <v>3805</v>
      </c>
      <c r="D336" t="s">
        <v>13</v>
      </c>
    </row>
    <row r="337" spans="1:4" x14ac:dyDescent="0.3">
      <c r="A337" s="1">
        <v>42735</v>
      </c>
      <c r="B337" t="s">
        <v>13</v>
      </c>
      <c r="C337">
        <v>3862</v>
      </c>
      <c r="D337" t="s">
        <v>13</v>
      </c>
    </row>
    <row r="338" spans="1:4" x14ac:dyDescent="0.3">
      <c r="A338" s="1">
        <v>42825</v>
      </c>
      <c r="B338" t="s">
        <v>13</v>
      </c>
      <c r="C338">
        <v>3938</v>
      </c>
      <c r="D338" t="s">
        <v>13</v>
      </c>
    </row>
    <row r="339" spans="1:4" x14ac:dyDescent="0.3">
      <c r="A339" s="1">
        <v>42916</v>
      </c>
      <c r="B339" t="s">
        <v>13</v>
      </c>
      <c r="C339">
        <v>4090</v>
      </c>
      <c r="D339" t="s">
        <v>13</v>
      </c>
    </row>
    <row r="340" spans="1:4" x14ac:dyDescent="0.3">
      <c r="A340" s="1">
        <v>43008</v>
      </c>
      <c r="B340" t="s">
        <v>13</v>
      </c>
      <c r="C340">
        <v>4141</v>
      </c>
      <c r="D340" t="s">
        <v>13</v>
      </c>
    </row>
    <row r="341" spans="1:4" x14ac:dyDescent="0.3">
      <c r="A341" s="1">
        <v>43100</v>
      </c>
      <c r="B341" t="s">
        <v>13</v>
      </c>
      <c r="C341">
        <v>4109</v>
      </c>
      <c r="D341" t="s">
        <v>13</v>
      </c>
    </row>
    <row r="342" spans="1:4" x14ac:dyDescent="0.3">
      <c r="A342" s="1">
        <v>43190</v>
      </c>
      <c r="B342" t="s">
        <v>13</v>
      </c>
      <c r="C342">
        <v>4161</v>
      </c>
      <c r="D342" t="s">
        <v>13</v>
      </c>
    </row>
    <row r="343" spans="1:4" x14ac:dyDescent="0.3">
      <c r="A343" s="1">
        <v>43281</v>
      </c>
      <c r="B343" t="s">
        <v>13</v>
      </c>
      <c r="C343">
        <v>4273</v>
      </c>
      <c r="D343" t="s">
        <v>13</v>
      </c>
    </row>
    <row r="344" spans="1:4" x14ac:dyDescent="0.3">
      <c r="A344" s="1">
        <v>43373</v>
      </c>
      <c r="B344" t="s">
        <v>13</v>
      </c>
      <c r="C344">
        <v>4325</v>
      </c>
      <c r="D344" t="s">
        <v>13</v>
      </c>
    </row>
    <row r="345" spans="1:4" x14ac:dyDescent="0.3">
      <c r="A345" s="1">
        <v>43465</v>
      </c>
      <c r="B345" t="s">
        <v>13</v>
      </c>
      <c r="C345">
        <v>4414</v>
      </c>
      <c r="D345" t="s">
        <v>13</v>
      </c>
    </row>
    <row r="346" spans="1:4" x14ac:dyDescent="0.3">
      <c r="A346" s="1">
        <v>43555</v>
      </c>
      <c r="B346" t="s">
        <v>13</v>
      </c>
      <c r="C346">
        <v>4426</v>
      </c>
      <c r="D346" t="s">
        <v>13</v>
      </c>
    </row>
    <row r="347" spans="1:4" x14ac:dyDescent="0.3">
      <c r="A347" s="1">
        <v>43646</v>
      </c>
      <c r="B347" t="s">
        <v>13</v>
      </c>
      <c r="C347">
        <v>4577</v>
      </c>
      <c r="D347" t="s">
        <v>13</v>
      </c>
    </row>
    <row r="348" spans="1:4" x14ac:dyDescent="0.3">
      <c r="A348" s="1">
        <v>43738</v>
      </c>
      <c r="B348" t="s">
        <v>13</v>
      </c>
      <c r="C348">
        <v>4522</v>
      </c>
      <c r="D348" t="s">
        <v>13</v>
      </c>
    </row>
    <row r="349" spans="1:4" x14ac:dyDescent="0.3">
      <c r="A349" s="1">
        <v>43830</v>
      </c>
      <c r="B349" t="s">
        <v>13</v>
      </c>
      <c r="C349">
        <v>4327</v>
      </c>
      <c r="D349" t="s">
        <v>13</v>
      </c>
    </row>
    <row r="350" spans="1:4" x14ac:dyDescent="0.3">
      <c r="A350" s="1">
        <v>43921</v>
      </c>
      <c r="B350" t="s">
        <v>13</v>
      </c>
      <c r="C350">
        <v>3782</v>
      </c>
      <c r="D350" t="s">
        <v>13</v>
      </c>
    </row>
    <row r="351" spans="1:4" x14ac:dyDescent="0.3">
      <c r="A351" s="1">
        <v>44012</v>
      </c>
      <c r="B351" t="s">
        <v>13</v>
      </c>
      <c r="C351">
        <v>4268</v>
      </c>
      <c r="D351" t="s">
        <v>13</v>
      </c>
    </row>
    <row r="352" spans="1:4" x14ac:dyDescent="0.3">
      <c r="A352" s="1">
        <v>44104</v>
      </c>
      <c r="B352" t="s">
        <v>13</v>
      </c>
      <c r="C352">
        <v>4660</v>
      </c>
      <c r="D352" t="s">
        <v>13</v>
      </c>
    </row>
    <row r="353" spans="1:4" x14ac:dyDescent="0.3">
      <c r="A353" s="1">
        <v>44196</v>
      </c>
      <c r="B353" t="s">
        <v>13</v>
      </c>
      <c r="C353">
        <v>5104</v>
      </c>
      <c r="D353" t="s">
        <v>13</v>
      </c>
    </row>
    <row r="354" spans="1:4" x14ac:dyDescent="0.3">
      <c r="A354" s="1">
        <v>44286</v>
      </c>
      <c r="B354" t="s">
        <v>13</v>
      </c>
      <c r="C354">
        <v>4564</v>
      </c>
      <c r="D354" t="s">
        <v>13</v>
      </c>
    </row>
    <row r="355" spans="1:4" x14ac:dyDescent="0.3">
      <c r="A355" s="1">
        <v>44377</v>
      </c>
      <c r="B355" t="s">
        <v>13</v>
      </c>
      <c r="C355">
        <v>3809</v>
      </c>
      <c r="D355" t="s">
        <v>13</v>
      </c>
    </row>
    <row r="356" spans="1:4" x14ac:dyDescent="0.3">
      <c r="A356" s="1">
        <v>44469</v>
      </c>
      <c r="B356" t="s">
        <v>13</v>
      </c>
      <c r="C356">
        <v>3542</v>
      </c>
      <c r="D356" t="s">
        <v>13</v>
      </c>
    </row>
    <row r="357" spans="1:4" x14ac:dyDescent="0.3">
      <c r="A357" s="1">
        <v>44561</v>
      </c>
      <c r="B357" t="s">
        <v>13</v>
      </c>
      <c r="C357">
        <v>3451</v>
      </c>
      <c r="D357" t="s">
        <v>13</v>
      </c>
    </row>
    <row r="358" spans="1:4" x14ac:dyDescent="0.3">
      <c r="A358" s="1">
        <v>44651</v>
      </c>
      <c r="B358" t="s">
        <v>13</v>
      </c>
      <c r="C358">
        <v>3777</v>
      </c>
      <c r="D358" t="s">
        <v>13</v>
      </c>
    </row>
    <row r="359" spans="1:4" x14ac:dyDescent="0.3">
      <c r="A359" s="1">
        <v>44742</v>
      </c>
      <c r="B359" t="s">
        <v>13</v>
      </c>
      <c r="C359">
        <v>4202</v>
      </c>
      <c r="D359" t="s">
        <v>13</v>
      </c>
    </row>
    <row r="360" spans="1:4" x14ac:dyDescent="0.3">
      <c r="A360" s="1">
        <v>44834</v>
      </c>
      <c r="B360" t="s">
        <v>13</v>
      </c>
      <c r="C360">
        <v>4448</v>
      </c>
      <c r="D360" t="s">
        <v>13</v>
      </c>
    </row>
    <row r="361" spans="1:4" x14ac:dyDescent="0.3">
      <c r="A361" s="1">
        <v>44926</v>
      </c>
      <c r="B361" t="s">
        <v>13</v>
      </c>
      <c r="C361">
        <v>5036</v>
      </c>
      <c r="D361" t="s">
        <v>13</v>
      </c>
    </row>
    <row r="362" spans="1:4" x14ac:dyDescent="0.3">
      <c r="A362" s="1">
        <v>45016</v>
      </c>
      <c r="B362" t="s">
        <v>13</v>
      </c>
      <c r="C362">
        <v>5298</v>
      </c>
      <c r="D362" t="s">
        <v>13</v>
      </c>
    </row>
    <row r="363" spans="1:4" x14ac:dyDescent="0.3">
      <c r="A363" s="1">
        <v>45107</v>
      </c>
      <c r="B363" t="s">
        <v>13</v>
      </c>
      <c r="C363">
        <v>6225</v>
      </c>
      <c r="D363" t="s">
        <v>13</v>
      </c>
    </row>
    <row r="364" spans="1:4" x14ac:dyDescent="0.3">
      <c r="A364" s="1">
        <v>45199</v>
      </c>
      <c r="B364" t="s">
        <v>13</v>
      </c>
      <c r="C364">
        <v>6694</v>
      </c>
      <c r="D364" t="s">
        <v>13</v>
      </c>
    </row>
    <row r="365" spans="1:4" x14ac:dyDescent="0.3">
      <c r="A365" s="1">
        <v>45291</v>
      </c>
      <c r="B365" t="s">
        <v>13</v>
      </c>
      <c r="C365">
        <v>6741</v>
      </c>
      <c r="D365" t="s">
        <v>13</v>
      </c>
    </row>
    <row r="366" spans="1:4" x14ac:dyDescent="0.3">
      <c r="A366" s="1">
        <v>45382</v>
      </c>
      <c r="B366" t="s">
        <v>13</v>
      </c>
      <c r="C366">
        <v>6855</v>
      </c>
      <c r="D366" t="s">
        <v>13</v>
      </c>
    </row>
    <row r="367" spans="1:4" x14ac:dyDescent="0.3">
      <c r="A367" s="1">
        <v>45473</v>
      </c>
      <c r="B367" t="s">
        <v>13</v>
      </c>
      <c r="C367">
        <v>6733</v>
      </c>
      <c r="D367" t="s">
        <v>13</v>
      </c>
    </row>
    <row r="368" spans="1:4" x14ac:dyDescent="0.3">
      <c r="A368" s="1">
        <v>45565</v>
      </c>
      <c r="B368" t="s">
        <v>13</v>
      </c>
      <c r="C368">
        <v>6669</v>
      </c>
      <c r="D368" t="s">
        <v>13</v>
      </c>
    </row>
    <row r="369" spans="1:4" x14ac:dyDescent="0.3">
      <c r="A369" s="1">
        <v>45657</v>
      </c>
      <c r="B369" t="s">
        <v>13</v>
      </c>
      <c r="C369">
        <v>6519</v>
      </c>
      <c r="D369" t="s">
        <v>13</v>
      </c>
    </row>
    <row r="370" spans="1:4" x14ac:dyDescent="0.3">
      <c r="A370" s="1">
        <v>45747</v>
      </c>
      <c r="B370" t="s">
        <v>13</v>
      </c>
      <c r="C370">
        <v>6458</v>
      </c>
      <c r="D370" t="s">
        <v>13</v>
      </c>
    </row>
    <row r="371" spans="1:4" x14ac:dyDescent="0.3">
      <c r="A371" s="1">
        <v>45838</v>
      </c>
      <c r="B371" t="s">
        <v>13</v>
      </c>
      <c r="C371">
        <v>6631</v>
      </c>
      <c r="D371" t="s">
        <v>13</v>
      </c>
    </row>
    <row r="372" spans="1:4" x14ac:dyDescent="0.3">
      <c r="A372" s="1">
        <v>42551</v>
      </c>
      <c r="B372" t="s">
        <v>14</v>
      </c>
      <c r="C372">
        <v>14253</v>
      </c>
      <c r="D372" t="s">
        <v>14</v>
      </c>
    </row>
    <row r="373" spans="1:4" x14ac:dyDescent="0.3">
      <c r="A373" s="1">
        <v>42643</v>
      </c>
      <c r="B373" t="s">
        <v>14</v>
      </c>
      <c r="C373">
        <v>14455</v>
      </c>
      <c r="D373" t="s">
        <v>14</v>
      </c>
    </row>
    <row r="374" spans="1:4" x14ac:dyDescent="0.3">
      <c r="A374" s="1">
        <v>42735</v>
      </c>
      <c r="B374" t="s">
        <v>14</v>
      </c>
      <c r="C374">
        <v>14503</v>
      </c>
      <c r="D374" t="s">
        <v>14</v>
      </c>
    </row>
    <row r="375" spans="1:4" x14ac:dyDescent="0.3">
      <c r="A375" s="1">
        <v>42825</v>
      </c>
      <c r="B375" t="s">
        <v>14</v>
      </c>
      <c r="C375">
        <v>14426</v>
      </c>
      <c r="D375" t="s">
        <v>14</v>
      </c>
    </row>
    <row r="376" spans="1:4" x14ac:dyDescent="0.3">
      <c r="A376" s="1">
        <v>42916</v>
      </c>
      <c r="B376" t="s">
        <v>14</v>
      </c>
      <c r="C376">
        <v>14991</v>
      </c>
      <c r="D376" t="s">
        <v>14</v>
      </c>
    </row>
    <row r="377" spans="1:4" x14ac:dyDescent="0.3">
      <c r="A377" s="1">
        <v>43008</v>
      </c>
      <c r="B377" t="s">
        <v>14</v>
      </c>
      <c r="C377">
        <v>15041</v>
      </c>
      <c r="D377" t="s">
        <v>14</v>
      </c>
    </row>
    <row r="378" spans="1:4" x14ac:dyDescent="0.3">
      <c r="A378" s="1">
        <v>43100</v>
      </c>
      <c r="B378" t="s">
        <v>14</v>
      </c>
      <c r="C378">
        <v>15060</v>
      </c>
      <c r="D378" t="s">
        <v>14</v>
      </c>
    </row>
    <row r="379" spans="1:4" x14ac:dyDescent="0.3">
      <c r="A379" s="1">
        <v>43190</v>
      </c>
      <c r="B379" t="s">
        <v>14</v>
      </c>
      <c r="C379">
        <v>15528</v>
      </c>
      <c r="D379" t="s">
        <v>14</v>
      </c>
    </row>
    <row r="380" spans="1:4" x14ac:dyDescent="0.3">
      <c r="A380" s="1">
        <v>43281</v>
      </c>
      <c r="B380" t="s">
        <v>14</v>
      </c>
      <c r="C380">
        <v>15234</v>
      </c>
      <c r="D380" t="s">
        <v>14</v>
      </c>
    </row>
    <row r="381" spans="1:4" x14ac:dyDescent="0.3">
      <c r="A381" s="1">
        <v>43373</v>
      </c>
      <c r="B381" t="s">
        <v>14</v>
      </c>
      <c r="C381">
        <v>15800</v>
      </c>
      <c r="D381" t="s">
        <v>14</v>
      </c>
    </row>
    <row r="382" spans="1:4" x14ac:dyDescent="0.3">
      <c r="A382" s="1">
        <v>43465</v>
      </c>
      <c r="B382" t="s">
        <v>14</v>
      </c>
      <c r="C382">
        <v>16028</v>
      </c>
      <c r="D382" t="s">
        <v>14</v>
      </c>
    </row>
    <row r="383" spans="1:4" x14ac:dyDescent="0.3">
      <c r="A383" s="1">
        <v>43555</v>
      </c>
      <c r="B383" t="s">
        <v>14</v>
      </c>
      <c r="C383">
        <v>16379</v>
      </c>
      <c r="D383" t="s">
        <v>14</v>
      </c>
    </row>
    <row r="384" spans="1:4" x14ac:dyDescent="0.3">
      <c r="A384" s="1">
        <v>43646</v>
      </c>
      <c r="B384" t="s">
        <v>14</v>
      </c>
      <c r="C384">
        <v>16613</v>
      </c>
      <c r="D384" t="s">
        <v>14</v>
      </c>
    </row>
    <row r="385" spans="1:4" x14ac:dyDescent="0.3">
      <c r="A385" s="1">
        <v>43738</v>
      </c>
      <c r="B385" t="s">
        <v>14</v>
      </c>
      <c r="C385">
        <v>16617</v>
      </c>
      <c r="D385" t="s">
        <v>14</v>
      </c>
    </row>
    <row r="386" spans="1:4" x14ac:dyDescent="0.3">
      <c r="A386" s="1">
        <v>43830</v>
      </c>
      <c r="B386" t="s">
        <v>14</v>
      </c>
      <c r="C386">
        <v>17190</v>
      </c>
      <c r="D386" t="s">
        <v>14</v>
      </c>
    </row>
    <row r="387" spans="1:4" x14ac:dyDescent="0.3">
      <c r="A387" s="1">
        <v>43921</v>
      </c>
      <c r="B387" t="s">
        <v>14</v>
      </c>
      <c r="C387">
        <v>17201</v>
      </c>
      <c r="D387" t="s">
        <v>14</v>
      </c>
    </row>
    <row r="388" spans="1:4" x14ac:dyDescent="0.3">
      <c r="A388" s="1">
        <v>44012</v>
      </c>
      <c r="B388" t="s">
        <v>14</v>
      </c>
      <c r="C388">
        <v>16525</v>
      </c>
      <c r="D388" t="s">
        <v>14</v>
      </c>
    </row>
    <row r="389" spans="1:4" x14ac:dyDescent="0.3">
      <c r="A389" s="1">
        <v>44104</v>
      </c>
      <c r="B389" t="s">
        <v>14</v>
      </c>
      <c r="C389">
        <v>17778</v>
      </c>
      <c r="D389" t="s">
        <v>14</v>
      </c>
    </row>
    <row r="390" spans="1:4" x14ac:dyDescent="0.3">
      <c r="A390" s="1">
        <v>44196</v>
      </c>
      <c r="B390" t="s">
        <v>14</v>
      </c>
      <c r="C390">
        <v>17874</v>
      </c>
      <c r="D390" t="s">
        <v>14</v>
      </c>
    </row>
    <row r="391" spans="1:4" x14ac:dyDescent="0.3">
      <c r="A391" s="1">
        <v>44286</v>
      </c>
      <c r="B391" t="s">
        <v>14</v>
      </c>
      <c r="C391">
        <v>18330</v>
      </c>
      <c r="D391" t="s">
        <v>14</v>
      </c>
    </row>
    <row r="392" spans="1:4" x14ac:dyDescent="0.3">
      <c r="A392" s="1">
        <v>44377</v>
      </c>
      <c r="B392" t="s">
        <v>14</v>
      </c>
      <c r="C392">
        <v>19017</v>
      </c>
      <c r="D392" t="s">
        <v>14</v>
      </c>
    </row>
    <row r="393" spans="1:4" x14ac:dyDescent="0.3">
      <c r="A393" s="1">
        <v>44469</v>
      </c>
      <c r="B393" t="s">
        <v>14</v>
      </c>
      <c r="C393">
        <v>18926</v>
      </c>
      <c r="D393" t="s">
        <v>14</v>
      </c>
    </row>
    <row r="394" spans="1:4" x14ac:dyDescent="0.3">
      <c r="A394" s="1">
        <v>44561</v>
      </c>
      <c r="B394" t="s">
        <v>14</v>
      </c>
      <c r="C394">
        <v>19910</v>
      </c>
      <c r="D394" t="s">
        <v>14</v>
      </c>
    </row>
    <row r="395" spans="1:4" x14ac:dyDescent="0.3">
      <c r="A395" s="1">
        <v>44651</v>
      </c>
      <c r="B395" t="s">
        <v>14</v>
      </c>
      <c r="C395">
        <v>20019</v>
      </c>
      <c r="D395" t="s">
        <v>14</v>
      </c>
    </row>
    <row r="396" spans="1:4" x14ac:dyDescent="0.3">
      <c r="A396" s="1">
        <v>44742</v>
      </c>
      <c r="B396" t="s">
        <v>14</v>
      </c>
      <c r="C396">
        <v>20848</v>
      </c>
      <c r="D396" t="s">
        <v>14</v>
      </c>
    </row>
    <row r="397" spans="1:4" x14ac:dyDescent="0.3">
      <c r="A397" s="1">
        <v>44834</v>
      </c>
      <c r="B397" t="s">
        <v>14</v>
      </c>
      <c r="C397">
        <v>21035</v>
      </c>
      <c r="D397" t="s">
        <v>14</v>
      </c>
    </row>
    <row r="398" spans="1:4" x14ac:dyDescent="0.3">
      <c r="A398" s="1">
        <v>44926</v>
      </c>
      <c r="B398" t="s">
        <v>14</v>
      </c>
      <c r="C398">
        <v>21448</v>
      </c>
      <c r="D398" t="s">
        <v>14</v>
      </c>
    </row>
    <row r="399" spans="1:4" x14ac:dyDescent="0.3">
      <c r="A399" s="1">
        <v>45016</v>
      </c>
      <c r="B399" t="s">
        <v>14</v>
      </c>
      <c r="C399">
        <v>22260</v>
      </c>
      <c r="D399" t="s">
        <v>14</v>
      </c>
    </row>
    <row r="400" spans="1:4" x14ac:dyDescent="0.3">
      <c r="A400" s="1">
        <v>45107</v>
      </c>
      <c r="B400" t="s">
        <v>14</v>
      </c>
      <c r="C400">
        <v>22600</v>
      </c>
      <c r="D400" t="s">
        <v>14</v>
      </c>
    </row>
    <row r="401" spans="1:4" x14ac:dyDescent="0.3">
      <c r="A401" s="1">
        <v>45199</v>
      </c>
      <c r="B401" t="s">
        <v>14</v>
      </c>
      <c r="C401">
        <v>24071</v>
      </c>
      <c r="D401" t="s">
        <v>14</v>
      </c>
    </row>
    <row r="402" spans="1:4" x14ac:dyDescent="0.3">
      <c r="A402" s="1">
        <v>45291</v>
      </c>
      <c r="B402" t="s">
        <v>14</v>
      </c>
      <c r="C402">
        <v>24842</v>
      </c>
      <c r="D402" t="s">
        <v>14</v>
      </c>
    </row>
    <row r="403" spans="1:4" x14ac:dyDescent="0.3">
      <c r="A403" s="1">
        <v>45382</v>
      </c>
      <c r="B403" t="s">
        <v>14</v>
      </c>
      <c r="C403">
        <v>24973</v>
      </c>
      <c r="D403" t="s">
        <v>14</v>
      </c>
    </row>
    <row r="404" spans="1:4" x14ac:dyDescent="0.3">
      <c r="A404" s="1">
        <v>45473</v>
      </c>
      <c r="B404" t="s">
        <v>14</v>
      </c>
      <c r="C404">
        <v>25472</v>
      </c>
      <c r="D404" t="s">
        <v>14</v>
      </c>
    </row>
    <row r="405" spans="1:4" x14ac:dyDescent="0.3">
      <c r="A405" s="1">
        <v>45565</v>
      </c>
      <c r="B405" t="s">
        <v>14</v>
      </c>
      <c r="C405">
        <v>25382</v>
      </c>
      <c r="D405" t="s">
        <v>14</v>
      </c>
    </row>
    <row r="406" spans="1:4" x14ac:dyDescent="0.3">
      <c r="A406" s="1">
        <v>45657</v>
      </c>
      <c r="B406" t="s">
        <v>14</v>
      </c>
      <c r="C406">
        <v>24909</v>
      </c>
      <c r="D406" t="s">
        <v>14</v>
      </c>
    </row>
    <row r="407" spans="1:4" x14ac:dyDescent="0.3">
      <c r="A407" s="1">
        <v>45747</v>
      </c>
      <c r="B407" t="s">
        <v>14</v>
      </c>
      <c r="C407">
        <v>24798</v>
      </c>
      <c r="D407" t="s">
        <v>14</v>
      </c>
    </row>
    <row r="408" spans="1:4" x14ac:dyDescent="0.3">
      <c r="A408" s="1">
        <v>45838</v>
      </c>
      <c r="B408" t="s">
        <v>14</v>
      </c>
      <c r="C408">
        <v>24604</v>
      </c>
      <c r="D408" t="s">
        <v>14</v>
      </c>
    </row>
    <row r="409" spans="1:4" x14ac:dyDescent="0.3">
      <c r="A409" s="1">
        <v>42551</v>
      </c>
      <c r="B409" t="s">
        <v>15</v>
      </c>
      <c r="C409">
        <v>51846</v>
      </c>
      <c r="D409" t="s">
        <v>15</v>
      </c>
    </row>
    <row r="410" spans="1:4" x14ac:dyDescent="0.3">
      <c r="A410" s="1">
        <v>42643</v>
      </c>
      <c r="B410" t="s">
        <v>15</v>
      </c>
      <c r="C410">
        <v>52028</v>
      </c>
      <c r="D410" t="s">
        <v>15</v>
      </c>
    </row>
    <row r="411" spans="1:4" x14ac:dyDescent="0.3">
      <c r="A411" s="1">
        <v>42735</v>
      </c>
      <c r="B411" t="s">
        <v>15</v>
      </c>
      <c r="C411">
        <v>52615</v>
      </c>
      <c r="D411" t="s">
        <v>15</v>
      </c>
    </row>
    <row r="412" spans="1:4" x14ac:dyDescent="0.3">
      <c r="A412" s="1">
        <v>42825</v>
      </c>
      <c r="B412" t="s">
        <v>15</v>
      </c>
      <c r="C412">
        <v>54058</v>
      </c>
      <c r="D412" t="s">
        <v>15</v>
      </c>
    </row>
    <row r="413" spans="1:4" x14ac:dyDescent="0.3">
      <c r="A413" s="1">
        <v>42916</v>
      </c>
      <c r="B413" t="s">
        <v>15</v>
      </c>
      <c r="C413">
        <v>54246</v>
      </c>
      <c r="D413" t="s">
        <v>15</v>
      </c>
    </row>
    <row r="414" spans="1:4" x14ac:dyDescent="0.3">
      <c r="A414" s="1">
        <v>43008</v>
      </c>
      <c r="B414" t="s">
        <v>15</v>
      </c>
      <c r="C414">
        <v>55133</v>
      </c>
      <c r="D414" t="s">
        <v>15</v>
      </c>
    </row>
    <row r="415" spans="1:4" x14ac:dyDescent="0.3">
      <c r="A415" s="1">
        <v>43100</v>
      </c>
      <c r="B415" t="s">
        <v>15</v>
      </c>
      <c r="C415">
        <v>56427</v>
      </c>
      <c r="D415" t="s">
        <v>15</v>
      </c>
    </row>
    <row r="416" spans="1:4" x14ac:dyDescent="0.3">
      <c r="A416" s="1">
        <v>43190</v>
      </c>
      <c r="B416" t="s">
        <v>15</v>
      </c>
      <c r="C416">
        <v>57076</v>
      </c>
      <c r="D416" t="s">
        <v>15</v>
      </c>
    </row>
    <row r="417" spans="1:4" x14ac:dyDescent="0.3">
      <c r="A417" s="1">
        <v>43281</v>
      </c>
      <c r="B417" t="s">
        <v>15</v>
      </c>
      <c r="C417">
        <v>57709</v>
      </c>
      <c r="D417" t="s">
        <v>15</v>
      </c>
    </row>
    <row r="418" spans="1:4" x14ac:dyDescent="0.3">
      <c r="A418" s="1">
        <v>43373</v>
      </c>
      <c r="B418" t="s">
        <v>15</v>
      </c>
      <c r="C418">
        <v>58762</v>
      </c>
      <c r="D418" t="s">
        <v>15</v>
      </c>
    </row>
    <row r="419" spans="1:4" x14ac:dyDescent="0.3">
      <c r="A419" s="1">
        <v>43465</v>
      </c>
      <c r="B419" t="s">
        <v>15</v>
      </c>
      <c r="C419">
        <v>59946</v>
      </c>
      <c r="D419" t="s">
        <v>15</v>
      </c>
    </row>
    <row r="420" spans="1:4" x14ac:dyDescent="0.3">
      <c r="A420" s="1">
        <v>43555</v>
      </c>
      <c r="B420" t="s">
        <v>15</v>
      </c>
      <c r="C420">
        <v>60123</v>
      </c>
      <c r="D420" t="s">
        <v>15</v>
      </c>
    </row>
    <row r="421" spans="1:4" x14ac:dyDescent="0.3">
      <c r="A421" s="1">
        <v>43646</v>
      </c>
      <c r="B421" t="s">
        <v>15</v>
      </c>
      <c r="C421">
        <v>62041</v>
      </c>
      <c r="D421" t="s">
        <v>15</v>
      </c>
    </row>
    <row r="422" spans="1:4" x14ac:dyDescent="0.3">
      <c r="A422" s="1">
        <v>43738</v>
      </c>
      <c r="B422" t="s">
        <v>15</v>
      </c>
      <c r="C422">
        <v>63004</v>
      </c>
      <c r="D422" t="s">
        <v>15</v>
      </c>
    </row>
    <row r="423" spans="1:4" x14ac:dyDescent="0.3">
      <c r="A423" s="1">
        <v>43830</v>
      </c>
      <c r="B423" t="s">
        <v>15</v>
      </c>
      <c r="C423">
        <v>63882</v>
      </c>
      <c r="D423" t="s">
        <v>15</v>
      </c>
    </row>
    <row r="424" spans="1:4" x14ac:dyDescent="0.3">
      <c r="A424" s="1">
        <v>43921</v>
      </c>
      <c r="B424" t="s">
        <v>15</v>
      </c>
      <c r="C424">
        <v>63905</v>
      </c>
      <c r="D424" t="s">
        <v>15</v>
      </c>
    </row>
    <row r="425" spans="1:4" x14ac:dyDescent="0.3">
      <c r="A425" s="1">
        <v>44012</v>
      </c>
      <c r="B425" t="s">
        <v>15</v>
      </c>
      <c r="C425">
        <v>64423</v>
      </c>
      <c r="D425" t="s">
        <v>15</v>
      </c>
    </row>
    <row r="426" spans="1:4" x14ac:dyDescent="0.3">
      <c r="A426" s="1">
        <v>44104</v>
      </c>
      <c r="B426" t="s">
        <v>15</v>
      </c>
      <c r="C426">
        <v>67264</v>
      </c>
      <c r="D426" t="s">
        <v>15</v>
      </c>
    </row>
    <row r="427" spans="1:4" x14ac:dyDescent="0.3">
      <c r="A427" s="1">
        <v>44196</v>
      </c>
      <c r="B427" t="s">
        <v>15</v>
      </c>
      <c r="C427">
        <v>68374</v>
      </c>
      <c r="D427" t="s">
        <v>15</v>
      </c>
    </row>
    <row r="428" spans="1:4" x14ac:dyDescent="0.3">
      <c r="A428" s="1">
        <v>44286</v>
      </c>
      <c r="B428" t="s">
        <v>15</v>
      </c>
      <c r="C428">
        <v>69518</v>
      </c>
      <c r="D428" t="s">
        <v>15</v>
      </c>
    </row>
    <row r="429" spans="1:4" x14ac:dyDescent="0.3">
      <c r="A429" s="1">
        <v>44377</v>
      </c>
      <c r="B429" t="s">
        <v>15</v>
      </c>
      <c r="C429">
        <v>70274</v>
      </c>
      <c r="D429" t="s">
        <v>15</v>
      </c>
    </row>
    <row r="430" spans="1:4" x14ac:dyDescent="0.3">
      <c r="A430" s="1">
        <v>44469</v>
      </c>
      <c r="B430" t="s">
        <v>15</v>
      </c>
      <c r="C430">
        <v>70904</v>
      </c>
      <c r="D430" t="s">
        <v>15</v>
      </c>
    </row>
    <row r="431" spans="1:4" x14ac:dyDescent="0.3">
      <c r="A431" s="1">
        <v>44561</v>
      </c>
      <c r="B431" t="s">
        <v>15</v>
      </c>
      <c r="C431">
        <v>72894</v>
      </c>
      <c r="D431" t="s">
        <v>15</v>
      </c>
    </row>
    <row r="432" spans="1:4" x14ac:dyDescent="0.3">
      <c r="A432" s="1">
        <v>44651</v>
      </c>
      <c r="B432" t="s">
        <v>15</v>
      </c>
      <c r="C432">
        <v>73577</v>
      </c>
      <c r="D432" t="s">
        <v>15</v>
      </c>
    </row>
    <row r="433" spans="1:4" x14ac:dyDescent="0.3">
      <c r="A433" s="1">
        <v>44742</v>
      </c>
      <c r="B433" t="s">
        <v>15</v>
      </c>
      <c r="C433">
        <v>74818</v>
      </c>
      <c r="D433" t="s">
        <v>15</v>
      </c>
    </row>
    <row r="434" spans="1:4" x14ac:dyDescent="0.3">
      <c r="A434" s="1">
        <v>44834</v>
      </c>
      <c r="B434" t="s">
        <v>15</v>
      </c>
      <c r="C434">
        <v>76287</v>
      </c>
      <c r="D434" t="s">
        <v>15</v>
      </c>
    </row>
    <row r="435" spans="1:4" x14ac:dyDescent="0.3">
      <c r="A435" s="1">
        <v>44926</v>
      </c>
      <c r="B435" t="s">
        <v>15</v>
      </c>
      <c r="C435">
        <v>77417</v>
      </c>
      <c r="D435" t="s">
        <v>15</v>
      </c>
    </row>
    <row r="436" spans="1:4" x14ac:dyDescent="0.3">
      <c r="A436" s="1">
        <v>45016</v>
      </c>
      <c r="B436" t="s">
        <v>15</v>
      </c>
      <c r="C436">
        <v>78848</v>
      </c>
      <c r="D436" t="s">
        <v>15</v>
      </c>
    </row>
    <row r="437" spans="1:4" x14ac:dyDescent="0.3">
      <c r="A437" s="1">
        <v>45107</v>
      </c>
      <c r="B437" t="s">
        <v>15</v>
      </c>
      <c r="C437">
        <v>81779</v>
      </c>
      <c r="D437" t="s">
        <v>15</v>
      </c>
    </row>
    <row r="438" spans="1:4" x14ac:dyDescent="0.3">
      <c r="A438" s="1">
        <v>45199</v>
      </c>
      <c r="B438" t="s">
        <v>15</v>
      </c>
      <c r="C438">
        <v>83621</v>
      </c>
      <c r="D438" t="s">
        <v>15</v>
      </c>
    </row>
    <row r="439" spans="1:4" x14ac:dyDescent="0.3">
      <c r="A439" s="1">
        <v>45291</v>
      </c>
      <c r="B439" t="s">
        <v>15</v>
      </c>
      <c r="C439">
        <v>84744</v>
      </c>
      <c r="D439" t="s">
        <v>15</v>
      </c>
    </row>
    <row r="440" spans="1:4" x14ac:dyDescent="0.3">
      <c r="A440" s="1">
        <v>45382</v>
      </c>
      <c r="B440" t="s">
        <v>15</v>
      </c>
      <c r="C440">
        <v>86004</v>
      </c>
      <c r="D440" t="s">
        <v>15</v>
      </c>
    </row>
    <row r="441" spans="1:4" x14ac:dyDescent="0.3">
      <c r="A441" s="1">
        <v>45473</v>
      </c>
      <c r="B441" t="s">
        <v>15</v>
      </c>
      <c r="C441">
        <v>86202</v>
      </c>
      <c r="D441" t="s">
        <v>15</v>
      </c>
    </row>
    <row r="442" spans="1:4" x14ac:dyDescent="0.3">
      <c r="A442" s="1">
        <v>45565</v>
      </c>
      <c r="B442" t="s">
        <v>15</v>
      </c>
      <c r="C442">
        <v>86483</v>
      </c>
      <c r="D442" t="s">
        <v>15</v>
      </c>
    </row>
    <row r="443" spans="1:4" x14ac:dyDescent="0.3">
      <c r="A443" s="1">
        <v>45657</v>
      </c>
      <c r="B443" t="s">
        <v>15</v>
      </c>
      <c r="C443">
        <v>86857</v>
      </c>
      <c r="D443" t="s">
        <v>15</v>
      </c>
    </row>
    <row r="444" spans="1:4" x14ac:dyDescent="0.3">
      <c r="A444" s="1">
        <v>45747</v>
      </c>
      <c r="B444" t="s">
        <v>15</v>
      </c>
      <c r="C444">
        <v>87976</v>
      </c>
      <c r="D444" t="s">
        <v>15</v>
      </c>
    </row>
    <row r="445" spans="1:4" x14ac:dyDescent="0.3">
      <c r="A445" s="1">
        <v>45838</v>
      </c>
      <c r="B445" t="s">
        <v>15</v>
      </c>
      <c r="C445">
        <v>88974</v>
      </c>
      <c r="D445" t="s">
        <v>15</v>
      </c>
    </row>
    <row r="446" spans="1:4" x14ac:dyDescent="0.3">
      <c r="A446" s="1">
        <v>42551</v>
      </c>
      <c r="B446" t="s">
        <v>16</v>
      </c>
      <c r="C446">
        <v>1227</v>
      </c>
      <c r="D446" t="s">
        <v>16</v>
      </c>
    </row>
    <row r="447" spans="1:4" x14ac:dyDescent="0.3">
      <c r="A447" s="1">
        <v>42643</v>
      </c>
      <c r="B447" t="s">
        <v>16</v>
      </c>
      <c r="C447">
        <v>1266</v>
      </c>
      <c r="D447" t="s">
        <v>16</v>
      </c>
    </row>
    <row r="448" spans="1:4" x14ac:dyDescent="0.3">
      <c r="A448" s="1">
        <v>42735</v>
      </c>
      <c r="B448" t="s">
        <v>16</v>
      </c>
      <c r="C448">
        <v>1239</v>
      </c>
      <c r="D448" t="s">
        <v>16</v>
      </c>
    </row>
    <row r="449" spans="1:4" x14ac:dyDescent="0.3">
      <c r="A449" s="1">
        <v>42825</v>
      </c>
      <c r="B449" t="s">
        <v>16</v>
      </c>
      <c r="C449">
        <v>1226</v>
      </c>
      <c r="D449" t="s">
        <v>16</v>
      </c>
    </row>
    <row r="450" spans="1:4" x14ac:dyDescent="0.3">
      <c r="A450" s="1">
        <v>42916</v>
      </c>
      <c r="B450" t="s">
        <v>16</v>
      </c>
      <c r="C450">
        <v>1226</v>
      </c>
      <c r="D450" t="s">
        <v>16</v>
      </c>
    </row>
    <row r="451" spans="1:4" x14ac:dyDescent="0.3">
      <c r="A451" s="1">
        <v>43008</v>
      </c>
      <c r="B451" t="s">
        <v>16</v>
      </c>
      <c r="C451">
        <v>1262</v>
      </c>
      <c r="D451" t="s">
        <v>16</v>
      </c>
    </row>
    <row r="452" spans="1:4" x14ac:dyDescent="0.3">
      <c r="A452" s="1">
        <v>43100</v>
      </c>
      <c r="B452" t="s">
        <v>16</v>
      </c>
      <c r="C452">
        <v>1261</v>
      </c>
      <c r="D452" t="s">
        <v>16</v>
      </c>
    </row>
    <row r="453" spans="1:4" x14ac:dyDescent="0.3">
      <c r="A453" s="1">
        <v>43190</v>
      </c>
      <c r="B453" t="s">
        <v>16</v>
      </c>
      <c r="C453">
        <v>1378</v>
      </c>
      <c r="D453" t="s">
        <v>16</v>
      </c>
    </row>
    <row r="454" spans="1:4" x14ac:dyDescent="0.3">
      <c r="A454" s="1">
        <v>43281</v>
      </c>
      <c r="B454" t="s">
        <v>16</v>
      </c>
      <c r="C454">
        <v>1323</v>
      </c>
      <c r="D454" t="s">
        <v>16</v>
      </c>
    </row>
    <row r="455" spans="1:4" x14ac:dyDescent="0.3">
      <c r="A455" s="1">
        <v>43373</v>
      </c>
      <c r="B455" t="s">
        <v>16</v>
      </c>
      <c r="C455">
        <v>1255</v>
      </c>
      <c r="D455" t="s">
        <v>16</v>
      </c>
    </row>
    <row r="456" spans="1:4" x14ac:dyDescent="0.3">
      <c r="A456" s="1">
        <v>43465</v>
      </c>
      <c r="B456" t="s">
        <v>16</v>
      </c>
      <c r="C456">
        <v>1272</v>
      </c>
      <c r="D456" t="s">
        <v>16</v>
      </c>
    </row>
    <row r="457" spans="1:4" x14ac:dyDescent="0.3">
      <c r="A457" s="1">
        <v>43555</v>
      </c>
      <c r="B457" t="s">
        <v>16</v>
      </c>
      <c r="C457">
        <v>1239</v>
      </c>
      <c r="D457" t="s">
        <v>16</v>
      </c>
    </row>
    <row r="458" spans="1:4" x14ac:dyDescent="0.3">
      <c r="A458" s="1">
        <v>43646</v>
      </c>
      <c r="B458" t="s">
        <v>16</v>
      </c>
      <c r="C458">
        <v>1291</v>
      </c>
      <c r="D458" t="s">
        <v>16</v>
      </c>
    </row>
    <row r="459" spans="1:4" x14ac:dyDescent="0.3">
      <c r="A459" s="1">
        <v>43738</v>
      </c>
      <c r="B459" t="s">
        <v>16</v>
      </c>
      <c r="C459">
        <v>1304</v>
      </c>
      <c r="D459" t="s">
        <v>16</v>
      </c>
    </row>
    <row r="460" spans="1:4" x14ac:dyDescent="0.3">
      <c r="A460" s="1">
        <v>43830</v>
      </c>
      <c r="B460" t="s">
        <v>16</v>
      </c>
      <c r="C460">
        <v>1321</v>
      </c>
      <c r="D460" t="s">
        <v>16</v>
      </c>
    </row>
    <row r="461" spans="1:4" x14ac:dyDescent="0.3">
      <c r="A461" s="1">
        <v>43921</v>
      </c>
      <c r="B461" t="s">
        <v>16</v>
      </c>
      <c r="C461">
        <v>1299</v>
      </c>
      <c r="D461" t="s">
        <v>16</v>
      </c>
    </row>
    <row r="462" spans="1:4" x14ac:dyDescent="0.3">
      <c r="A462" s="1">
        <v>44012</v>
      </c>
      <c r="B462" t="s">
        <v>16</v>
      </c>
      <c r="C462">
        <v>1319</v>
      </c>
      <c r="D462" t="s">
        <v>16</v>
      </c>
    </row>
    <row r="463" spans="1:4" x14ac:dyDescent="0.3">
      <c r="A463" s="1">
        <v>44104</v>
      </c>
      <c r="B463" t="s">
        <v>16</v>
      </c>
      <c r="C463">
        <v>1354</v>
      </c>
      <c r="D463" t="s">
        <v>16</v>
      </c>
    </row>
    <row r="464" spans="1:4" x14ac:dyDescent="0.3">
      <c r="A464" s="1">
        <v>44196</v>
      </c>
      <c r="B464" t="s">
        <v>16</v>
      </c>
      <c r="C464">
        <v>1344</v>
      </c>
      <c r="D464" t="s">
        <v>16</v>
      </c>
    </row>
    <row r="465" spans="1:4" x14ac:dyDescent="0.3">
      <c r="A465" s="1">
        <v>44286</v>
      </c>
      <c r="B465" t="s">
        <v>16</v>
      </c>
      <c r="C465">
        <v>1265</v>
      </c>
      <c r="D465" t="s">
        <v>16</v>
      </c>
    </row>
    <row r="466" spans="1:4" x14ac:dyDescent="0.3">
      <c r="A466" s="1">
        <v>44377</v>
      </c>
      <c r="B466" t="s">
        <v>16</v>
      </c>
      <c r="C466">
        <v>1276</v>
      </c>
      <c r="D466" t="s">
        <v>16</v>
      </c>
    </row>
    <row r="467" spans="1:4" x14ac:dyDescent="0.3">
      <c r="A467" s="1">
        <v>44469</v>
      </c>
      <c r="B467" t="s">
        <v>16</v>
      </c>
      <c r="C467">
        <v>1325</v>
      </c>
      <c r="D467" t="s">
        <v>16</v>
      </c>
    </row>
    <row r="468" spans="1:4" x14ac:dyDescent="0.3">
      <c r="A468" s="1">
        <v>44561</v>
      </c>
      <c r="B468" t="s">
        <v>16</v>
      </c>
      <c r="C468">
        <v>1373</v>
      </c>
      <c r="D468" t="s">
        <v>16</v>
      </c>
    </row>
    <row r="469" spans="1:4" x14ac:dyDescent="0.3">
      <c r="A469" s="1">
        <v>44651</v>
      </c>
      <c r="B469" t="s">
        <v>16</v>
      </c>
      <c r="C469">
        <v>1334</v>
      </c>
      <c r="D469" t="s">
        <v>16</v>
      </c>
    </row>
    <row r="470" spans="1:4" x14ac:dyDescent="0.3">
      <c r="A470" s="1">
        <v>44742</v>
      </c>
      <c r="B470" t="s">
        <v>16</v>
      </c>
      <c r="C470">
        <v>1360</v>
      </c>
      <c r="D470" t="s">
        <v>16</v>
      </c>
    </row>
    <row r="471" spans="1:4" x14ac:dyDescent="0.3">
      <c r="A471" s="1">
        <v>44834</v>
      </c>
      <c r="B471" t="s">
        <v>16</v>
      </c>
      <c r="C471">
        <v>1352</v>
      </c>
      <c r="D471" t="s">
        <v>16</v>
      </c>
    </row>
    <row r="472" spans="1:4" x14ac:dyDescent="0.3">
      <c r="A472" s="1">
        <v>44926</v>
      </c>
      <c r="B472" t="s">
        <v>16</v>
      </c>
      <c r="C472">
        <v>1375</v>
      </c>
      <c r="D472" t="s">
        <v>16</v>
      </c>
    </row>
    <row r="473" spans="1:4" x14ac:dyDescent="0.3">
      <c r="A473" s="1">
        <v>45016</v>
      </c>
      <c r="B473" t="s">
        <v>16</v>
      </c>
      <c r="C473">
        <v>1365</v>
      </c>
      <c r="D473" t="s">
        <v>16</v>
      </c>
    </row>
    <row r="474" spans="1:4" x14ac:dyDescent="0.3">
      <c r="A474" s="1">
        <v>45107</v>
      </c>
      <c r="B474" t="s">
        <v>16</v>
      </c>
      <c r="C474">
        <v>1599</v>
      </c>
      <c r="D474" t="s">
        <v>16</v>
      </c>
    </row>
    <row r="475" spans="1:4" x14ac:dyDescent="0.3">
      <c r="A475" s="1">
        <v>45199</v>
      </c>
      <c r="B475" t="s">
        <v>16</v>
      </c>
      <c r="C475">
        <v>1585</v>
      </c>
      <c r="D475" t="s">
        <v>16</v>
      </c>
    </row>
    <row r="476" spans="1:4" x14ac:dyDescent="0.3">
      <c r="A476" s="1">
        <v>45291</v>
      </c>
      <c r="B476" t="s">
        <v>16</v>
      </c>
      <c r="C476">
        <v>1767</v>
      </c>
      <c r="D476" t="s">
        <v>16</v>
      </c>
    </row>
    <row r="477" spans="1:4" x14ac:dyDescent="0.3">
      <c r="A477" s="1">
        <v>45382</v>
      </c>
      <c r="B477" t="s">
        <v>16</v>
      </c>
      <c r="C477">
        <v>1767</v>
      </c>
      <c r="D477" t="s">
        <v>16</v>
      </c>
    </row>
    <row r="478" spans="1:4" x14ac:dyDescent="0.3">
      <c r="A478" s="1">
        <v>45473</v>
      </c>
      <c r="B478" t="s">
        <v>16</v>
      </c>
      <c r="C478">
        <v>1817</v>
      </c>
      <c r="D478" t="s">
        <v>16</v>
      </c>
    </row>
    <row r="479" spans="1:4" x14ac:dyDescent="0.3">
      <c r="A479" s="1">
        <v>45565</v>
      </c>
      <c r="B479" t="s">
        <v>16</v>
      </c>
      <c r="C479">
        <v>1826</v>
      </c>
      <c r="D479" t="s">
        <v>16</v>
      </c>
    </row>
    <row r="480" spans="1:4" x14ac:dyDescent="0.3">
      <c r="A480" s="1">
        <v>45657</v>
      </c>
      <c r="B480" t="s">
        <v>16</v>
      </c>
      <c r="C480">
        <v>1736</v>
      </c>
      <c r="D480" t="s">
        <v>16</v>
      </c>
    </row>
    <row r="481" spans="1:4" x14ac:dyDescent="0.3">
      <c r="A481" s="1">
        <v>45747</v>
      </c>
      <c r="B481" t="s">
        <v>16</v>
      </c>
      <c r="C481">
        <v>1778</v>
      </c>
      <c r="D481" t="s">
        <v>16</v>
      </c>
    </row>
    <row r="482" spans="1:4" x14ac:dyDescent="0.3">
      <c r="A482" s="1">
        <v>45838</v>
      </c>
      <c r="B482" t="s">
        <v>16</v>
      </c>
      <c r="C482">
        <v>1815</v>
      </c>
      <c r="D482" t="s">
        <v>16</v>
      </c>
    </row>
    <row r="483" spans="1:4" x14ac:dyDescent="0.3">
      <c r="A483" s="1">
        <v>31958</v>
      </c>
      <c r="B483" t="s">
        <v>17</v>
      </c>
      <c r="C483">
        <v>502</v>
      </c>
      <c r="D483" t="s">
        <v>18</v>
      </c>
    </row>
    <row r="484" spans="1:4" x14ac:dyDescent="0.3">
      <c r="A484" s="1">
        <v>31958</v>
      </c>
      <c r="B484" t="s">
        <v>17</v>
      </c>
      <c r="C484">
        <v>528</v>
      </c>
      <c r="D484" t="s">
        <v>19</v>
      </c>
    </row>
    <row r="485" spans="1:4" x14ac:dyDescent="0.3">
      <c r="A485" s="1">
        <v>31958</v>
      </c>
      <c r="B485" t="s">
        <v>17</v>
      </c>
      <c r="C485">
        <v>169</v>
      </c>
      <c r="D485" t="s">
        <v>20</v>
      </c>
    </row>
    <row r="486" spans="1:4" x14ac:dyDescent="0.3">
      <c r="A486" s="1">
        <v>31958</v>
      </c>
      <c r="B486" t="s">
        <v>17</v>
      </c>
      <c r="C486">
        <v>1222</v>
      </c>
      <c r="D486" t="s">
        <v>21</v>
      </c>
    </row>
    <row r="487" spans="1:4" x14ac:dyDescent="0.3">
      <c r="A487" s="1">
        <v>31958</v>
      </c>
      <c r="B487" t="s">
        <v>17</v>
      </c>
      <c r="C487">
        <v>693</v>
      </c>
      <c r="D487" t="s">
        <v>22</v>
      </c>
    </row>
    <row r="488" spans="1:4" x14ac:dyDescent="0.3">
      <c r="A488" s="1">
        <v>31958</v>
      </c>
      <c r="B488" t="s">
        <v>17</v>
      </c>
      <c r="C488">
        <v>1888</v>
      </c>
      <c r="D488" t="s">
        <v>23</v>
      </c>
    </row>
    <row r="489" spans="1:4" x14ac:dyDescent="0.3">
      <c r="A489" s="1">
        <v>31958</v>
      </c>
      <c r="B489" t="s">
        <v>17</v>
      </c>
      <c r="C489">
        <v>738</v>
      </c>
      <c r="D489" t="s">
        <v>24</v>
      </c>
    </row>
    <row r="490" spans="1:4" x14ac:dyDescent="0.3">
      <c r="A490" s="1">
        <v>31958</v>
      </c>
      <c r="B490" t="s">
        <v>17</v>
      </c>
      <c r="C490">
        <v>845</v>
      </c>
      <c r="D490" t="s">
        <v>25</v>
      </c>
    </row>
    <row r="491" spans="1:4" x14ac:dyDescent="0.3">
      <c r="A491" s="1">
        <v>31958</v>
      </c>
      <c r="B491" t="s">
        <v>17</v>
      </c>
      <c r="C491">
        <v>608</v>
      </c>
      <c r="D491" t="s">
        <v>26</v>
      </c>
    </row>
    <row r="492" spans="1:4" x14ac:dyDescent="0.3">
      <c r="A492" s="1">
        <v>31958</v>
      </c>
      <c r="B492" t="s">
        <v>17</v>
      </c>
      <c r="C492">
        <v>1506</v>
      </c>
      <c r="D492" t="s">
        <v>27</v>
      </c>
    </row>
    <row r="493" spans="1:4" x14ac:dyDescent="0.3">
      <c r="A493" s="1">
        <v>32050</v>
      </c>
      <c r="B493" t="s">
        <v>17</v>
      </c>
      <c r="C493">
        <v>508</v>
      </c>
      <c r="D493" t="s">
        <v>18</v>
      </c>
    </row>
    <row r="494" spans="1:4" x14ac:dyDescent="0.3">
      <c r="A494" s="1">
        <v>32050</v>
      </c>
      <c r="B494" t="s">
        <v>17</v>
      </c>
      <c r="C494">
        <v>522</v>
      </c>
      <c r="D494" t="s">
        <v>19</v>
      </c>
    </row>
    <row r="495" spans="1:4" x14ac:dyDescent="0.3">
      <c r="A495" s="1">
        <v>32050</v>
      </c>
      <c r="B495" t="s">
        <v>17</v>
      </c>
      <c r="C495">
        <v>176</v>
      </c>
      <c r="D495" t="s">
        <v>20</v>
      </c>
    </row>
    <row r="496" spans="1:4" x14ac:dyDescent="0.3">
      <c r="A496" s="1">
        <v>32050</v>
      </c>
      <c r="B496" t="s">
        <v>17</v>
      </c>
      <c r="C496">
        <v>1250</v>
      </c>
      <c r="D496" t="s">
        <v>21</v>
      </c>
    </row>
    <row r="497" spans="1:4" x14ac:dyDescent="0.3">
      <c r="A497" s="1">
        <v>32050</v>
      </c>
      <c r="B497" t="s">
        <v>17</v>
      </c>
      <c r="C497">
        <v>685</v>
      </c>
      <c r="D497" t="s">
        <v>22</v>
      </c>
    </row>
    <row r="498" spans="1:4" x14ac:dyDescent="0.3">
      <c r="A498" s="1">
        <v>32050</v>
      </c>
      <c r="B498" t="s">
        <v>17</v>
      </c>
      <c r="C498">
        <v>1951</v>
      </c>
      <c r="D498" t="s">
        <v>23</v>
      </c>
    </row>
    <row r="499" spans="1:4" x14ac:dyDescent="0.3">
      <c r="A499" s="1">
        <v>32050</v>
      </c>
      <c r="B499" t="s">
        <v>17</v>
      </c>
      <c r="C499">
        <v>776</v>
      </c>
      <c r="D499" t="s">
        <v>24</v>
      </c>
    </row>
    <row r="500" spans="1:4" x14ac:dyDescent="0.3">
      <c r="A500" s="1">
        <v>32050</v>
      </c>
      <c r="B500" t="s">
        <v>17</v>
      </c>
      <c r="C500">
        <v>847</v>
      </c>
      <c r="D500" t="s">
        <v>25</v>
      </c>
    </row>
    <row r="501" spans="1:4" x14ac:dyDescent="0.3">
      <c r="A501" s="1">
        <v>32050</v>
      </c>
      <c r="B501" t="s">
        <v>17</v>
      </c>
      <c r="C501">
        <v>604</v>
      </c>
      <c r="D501" t="s">
        <v>26</v>
      </c>
    </row>
    <row r="502" spans="1:4" x14ac:dyDescent="0.3">
      <c r="A502" s="1">
        <v>32050</v>
      </c>
      <c r="B502" t="s">
        <v>17</v>
      </c>
      <c r="C502">
        <v>1558</v>
      </c>
      <c r="D502" t="s">
        <v>27</v>
      </c>
    </row>
    <row r="503" spans="1:4" x14ac:dyDescent="0.3">
      <c r="A503" s="1">
        <v>32142</v>
      </c>
      <c r="B503" t="s">
        <v>17</v>
      </c>
      <c r="C503">
        <v>521</v>
      </c>
      <c r="D503" t="s">
        <v>18</v>
      </c>
    </row>
    <row r="504" spans="1:4" x14ac:dyDescent="0.3">
      <c r="A504" s="1">
        <v>32142</v>
      </c>
      <c r="B504" t="s">
        <v>17</v>
      </c>
      <c r="C504">
        <v>537</v>
      </c>
      <c r="D504" t="s">
        <v>19</v>
      </c>
    </row>
    <row r="505" spans="1:4" x14ac:dyDescent="0.3">
      <c r="A505" s="1">
        <v>32142</v>
      </c>
      <c r="B505" t="s">
        <v>17</v>
      </c>
      <c r="C505">
        <v>186</v>
      </c>
      <c r="D505" t="s">
        <v>20</v>
      </c>
    </row>
    <row r="506" spans="1:4" x14ac:dyDescent="0.3">
      <c r="A506" s="1">
        <v>32142</v>
      </c>
      <c r="B506" t="s">
        <v>17</v>
      </c>
      <c r="C506">
        <v>1279</v>
      </c>
      <c r="D506" t="s">
        <v>21</v>
      </c>
    </row>
    <row r="507" spans="1:4" x14ac:dyDescent="0.3">
      <c r="A507" s="1">
        <v>32142</v>
      </c>
      <c r="B507" t="s">
        <v>17</v>
      </c>
      <c r="C507">
        <v>687</v>
      </c>
      <c r="D507" t="s">
        <v>22</v>
      </c>
    </row>
    <row r="508" spans="1:4" x14ac:dyDescent="0.3">
      <c r="A508" s="1">
        <v>32142</v>
      </c>
      <c r="B508" t="s">
        <v>17</v>
      </c>
      <c r="C508">
        <v>2040</v>
      </c>
      <c r="D508" t="s">
        <v>23</v>
      </c>
    </row>
    <row r="509" spans="1:4" x14ac:dyDescent="0.3">
      <c r="A509" s="1">
        <v>32142</v>
      </c>
      <c r="B509" t="s">
        <v>17</v>
      </c>
      <c r="C509">
        <v>821</v>
      </c>
      <c r="D509" t="s">
        <v>24</v>
      </c>
    </row>
    <row r="510" spans="1:4" x14ac:dyDescent="0.3">
      <c r="A510" s="1">
        <v>32142</v>
      </c>
      <c r="B510" t="s">
        <v>17</v>
      </c>
      <c r="C510">
        <v>877</v>
      </c>
      <c r="D510" t="s">
        <v>25</v>
      </c>
    </row>
    <row r="511" spans="1:4" x14ac:dyDescent="0.3">
      <c r="A511" s="1">
        <v>32142</v>
      </c>
      <c r="B511" t="s">
        <v>17</v>
      </c>
      <c r="C511">
        <v>628</v>
      </c>
      <c r="D511" t="s">
        <v>26</v>
      </c>
    </row>
    <row r="512" spans="1:4" x14ac:dyDescent="0.3">
      <c r="A512" s="1">
        <v>32142</v>
      </c>
      <c r="B512" t="s">
        <v>17</v>
      </c>
      <c r="C512">
        <v>1518</v>
      </c>
      <c r="D512" t="s">
        <v>27</v>
      </c>
    </row>
    <row r="513" spans="1:4" x14ac:dyDescent="0.3">
      <c r="A513" s="1">
        <v>32233</v>
      </c>
      <c r="B513" t="s">
        <v>17</v>
      </c>
      <c r="C513">
        <v>523</v>
      </c>
      <c r="D513" t="s">
        <v>18</v>
      </c>
    </row>
    <row r="514" spans="1:4" x14ac:dyDescent="0.3">
      <c r="A514" s="1">
        <v>32233</v>
      </c>
      <c r="B514" t="s">
        <v>17</v>
      </c>
      <c r="C514">
        <v>524</v>
      </c>
      <c r="D514" t="s">
        <v>19</v>
      </c>
    </row>
    <row r="515" spans="1:4" x14ac:dyDescent="0.3">
      <c r="A515" s="1">
        <v>32233</v>
      </c>
      <c r="B515" t="s">
        <v>17</v>
      </c>
      <c r="C515">
        <v>193</v>
      </c>
      <c r="D515" t="s">
        <v>20</v>
      </c>
    </row>
    <row r="516" spans="1:4" x14ac:dyDescent="0.3">
      <c r="A516" s="1">
        <v>32233</v>
      </c>
      <c r="B516" t="s">
        <v>17</v>
      </c>
      <c r="C516">
        <v>1291</v>
      </c>
      <c r="D516" t="s">
        <v>21</v>
      </c>
    </row>
    <row r="517" spans="1:4" x14ac:dyDescent="0.3">
      <c r="A517" s="1">
        <v>32233</v>
      </c>
      <c r="B517" t="s">
        <v>17</v>
      </c>
      <c r="C517">
        <v>678</v>
      </c>
      <c r="D517" t="s">
        <v>22</v>
      </c>
    </row>
    <row r="518" spans="1:4" x14ac:dyDescent="0.3">
      <c r="A518" s="1">
        <v>32233</v>
      </c>
      <c r="B518" t="s">
        <v>17</v>
      </c>
      <c r="C518">
        <v>2148</v>
      </c>
      <c r="D518" t="s">
        <v>23</v>
      </c>
    </row>
    <row r="519" spans="1:4" x14ac:dyDescent="0.3">
      <c r="A519" s="1">
        <v>32233</v>
      </c>
      <c r="B519" t="s">
        <v>17</v>
      </c>
      <c r="C519">
        <v>850</v>
      </c>
      <c r="D519" t="s">
        <v>24</v>
      </c>
    </row>
    <row r="520" spans="1:4" x14ac:dyDescent="0.3">
      <c r="A520" s="1">
        <v>32233</v>
      </c>
      <c r="B520" t="s">
        <v>17</v>
      </c>
      <c r="C520">
        <v>889</v>
      </c>
      <c r="D520" t="s">
        <v>25</v>
      </c>
    </row>
    <row r="521" spans="1:4" x14ac:dyDescent="0.3">
      <c r="A521" s="1">
        <v>32233</v>
      </c>
      <c r="B521" t="s">
        <v>17</v>
      </c>
      <c r="C521">
        <v>616</v>
      </c>
      <c r="D521" t="s">
        <v>26</v>
      </c>
    </row>
    <row r="522" spans="1:4" x14ac:dyDescent="0.3">
      <c r="A522" s="1">
        <v>32233</v>
      </c>
      <c r="B522" t="s">
        <v>17</v>
      </c>
      <c r="C522">
        <v>1482</v>
      </c>
      <c r="D522" t="s">
        <v>27</v>
      </c>
    </row>
    <row r="523" spans="1:4" x14ac:dyDescent="0.3">
      <c r="A523" s="1">
        <v>32324</v>
      </c>
      <c r="B523" t="s">
        <v>17</v>
      </c>
      <c r="C523">
        <v>528</v>
      </c>
      <c r="D523" t="s">
        <v>18</v>
      </c>
    </row>
    <row r="524" spans="1:4" x14ac:dyDescent="0.3">
      <c r="A524" s="1">
        <v>32324</v>
      </c>
      <c r="B524" t="s">
        <v>17</v>
      </c>
      <c r="C524">
        <v>512</v>
      </c>
      <c r="D524" t="s">
        <v>19</v>
      </c>
    </row>
    <row r="525" spans="1:4" x14ac:dyDescent="0.3">
      <c r="A525" s="1">
        <v>32324</v>
      </c>
      <c r="B525" t="s">
        <v>17</v>
      </c>
      <c r="C525">
        <v>199</v>
      </c>
      <c r="D525" t="s">
        <v>20</v>
      </c>
    </row>
    <row r="526" spans="1:4" x14ac:dyDescent="0.3">
      <c r="A526" s="1">
        <v>32324</v>
      </c>
      <c r="B526" t="s">
        <v>17</v>
      </c>
      <c r="C526">
        <v>1292</v>
      </c>
      <c r="D526" t="s">
        <v>21</v>
      </c>
    </row>
    <row r="527" spans="1:4" x14ac:dyDescent="0.3">
      <c r="A527" s="1">
        <v>32324</v>
      </c>
      <c r="B527" t="s">
        <v>17</v>
      </c>
      <c r="C527">
        <v>667</v>
      </c>
      <c r="D527" t="s">
        <v>22</v>
      </c>
    </row>
    <row r="528" spans="1:4" x14ac:dyDescent="0.3">
      <c r="A528" s="1">
        <v>32324</v>
      </c>
      <c r="B528" t="s">
        <v>17</v>
      </c>
      <c r="C528">
        <v>2259</v>
      </c>
      <c r="D528" t="s">
        <v>23</v>
      </c>
    </row>
    <row r="529" spans="1:4" x14ac:dyDescent="0.3">
      <c r="A529" s="1">
        <v>32324</v>
      </c>
      <c r="B529" t="s">
        <v>17</v>
      </c>
      <c r="C529">
        <v>852</v>
      </c>
      <c r="D529" t="s">
        <v>24</v>
      </c>
    </row>
    <row r="530" spans="1:4" x14ac:dyDescent="0.3">
      <c r="A530" s="1">
        <v>32324</v>
      </c>
      <c r="B530" t="s">
        <v>17</v>
      </c>
      <c r="C530">
        <v>900</v>
      </c>
      <c r="D530" t="s">
        <v>25</v>
      </c>
    </row>
    <row r="531" spans="1:4" x14ac:dyDescent="0.3">
      <c r="A531" s="1">
        <v>32324</v>
      </c>
      <c r="B531" t="s">
        <v>17</v>
      </c>
      <c r="C531">
        <v>603</v>
      </c>
      <c r="D531" t="s">
        <v>26</v>
      </c>
    </row>
    <row r="532" spans="1:4" x14ac:dyDescent="0.3">
      <c r="A532" s="1">
        <v>32324</v>
      </c>
      <c r="B532" t="s">
        <v>17</v>
      </c>
      <c r="C532">
        <v>1489</v>
      </c>
      <c r="D532" t="s">
        <v>27</v>
      </c>
    </row>
    <row r="533" spans="1:4" x14ac:dyDescent="0.3">
      <c r="A533" s="1">
        <v>32416</v>
      </c>
      <c r="B533" t="s">
        <v>17</v>
      </c>
      <c r="C533">
        <v>550</v>
      </c>
      <c r="D533" t="s">
        <v>18</v>
      </c>
    </row>
    <row r="534" spans="1:4" x14ac:dyDescent="0.3">
      <c r="A534" s="1">
        <v>32416</v>
      </c>
      <c r="B534" t="s">
        <v>17</v>
      </c>
      <c r="C534">
        <v>519</v>
      </c>
      <c r="D534" t="s">
        <v>19</v>
      </c>
    </row>
    <row r="535" spans="1:4" x14ac:dyDescent="0.3">
      <c r="A535" s="1">
        <v>32416</v>
      </c>
      <c r="B535" t="s">
        <v>17</v>
      </c>
      <c r="C535">
        <v>209</v>
      </c>
      <c r="D535" t="s">
        <v>20</v>
      </c>
    </row>
    <row r="536" spans="1:4" x14ac:dyDescent="0.3">
      <c r="A536" s="1">
        <v>32416</v>
      </c>
      <c r="B536" t="s">
        <v>17</v>
      </c>
      <c r="C536">
        <v>1349</v>
      </c>
      <c r="D536" t="s">
        <v>21</v>
      </c>
    </row>
    <row r="537" spans="1:4" x14ac:dyDescent="0.3">
      <c r="A537" s="1">
        <v>32416</v>
      </c>
      <c r="B537" t="s">
        <v>17</v>
      </c>
      <c r="C537">
        <v>683</v>
      </c>
      <c r="D537" t="s">
        <v>22</v>
      </c>
    </row>
    <row r="538" spans="1:4" x14ac:dyDescent="0.3">
      <c r="A538" s="1">
        <v>32416</v>
      </c>
      <c r="B538" t="s">
        <v>17</v>
      </c>
      <c r="C538">
        <v>2370</v>
      </c>
      <c r="D538" t="s">
        <v>23</v>
      </c>
    </row>
    <row r="539" spans="1:4" x14ac:dyDescent="0.3">
      <c r="A539" s="1">
        <v>32416</v>
      </c>
      <c r="B539" t="s">
        <v>17</v>
      </c>
      <c r="C539">
        <v>873</v>
      </c>
      <c r="D539" t="s">
        <v>24</v>
      </c>
    </row>
    <row r="540" spans="1:4" x14ac:dyDescent="0.3">
      <c r="A540" s="1">
        <v>32416</v>
      </c>
      <c r="B540" t="s">
        <v>17</v>
      </c>
      <c r="C540">
        <v>944</v>
      </c>
      <c r="D540" t="s">
        <v>25</v>
      </c>
    </row>
    <row r="541" spans="1:4" x14ac:dyDescent="0.3">
      <c r="A541" s="1">
        <v>32416</v>
      </c>
      <c r="B541" t="s">
        <v>17</v>
      </c>
      <c r="C541">
        <v>634</v>
      </c>
      <c r="D541" t="s">
        <v>26</v>
      </c>
    </row>
    <row r="542" spans="1:4" x14ac:dyDescent="0.3">
      <c r="A542" s="1">
        <v>32416</v>
      </c>
      <c r="B542" t="s">
        <v>17</v>
      </c>
      <c r="C542">
        <v>1594</v>
      </c>
      <c r="D542" t="s">
        <v>27</v>
      </c>
    </row>
    <row r="543" spans="1:4" x14ac:dyDescent="0.3">
      <c r="A543" s="1">
        <v>32508</v>
      </c>
      <c r="B543" t="s">
        <v>17</v>
      </c>
      <c r="C543">
        <v>555</v>
      </c>
      <c r="D543" t="s">
        <v>18</v>
      </c>
    </row>
    <row r="544" spans="1:4" x14ac:dyDescent="0.3">
      <c r="A544" s="1">
        <v>32508</v>
      </c>
      <c r="B544" t="s">
        <v>17</v>
      </c>
      <c r="C544">
        <v>515</v>
      </c>
      <c r="D544" t="s">
        <v>19</v>
      </c>
    </row>
    <row r="545" spans="1:4" x14ac:dyDescent="0.3">
      <c r="A545" s="1">
        <v>32508</v>
      </c>
      <c r="B545" t="s">
        <v>17</v>
      </c>
      <c r="C545">
        <v>195</v>
      </c>
      <c r="D545" t="s">
        <v>20</v>
      </c>
    </row>
    <row r="546" spans="1:4" x14ac:dyDescent="0.3">
      <c r="A546" s="1">
        <v>32508</v>
      </c>
      <c r="B546" t="s">
        <v>17</v>
      </c>
      <c r="C546">
        <v>1355</v>
      </c>
      <c r="D546" t="s">
        <v>21</v>
      </c>
    </row>
    <row r="547" spans="1:4" x14ac:dyDescent="0.3">
      <c r="A547" s="1">
        <v>32508</v>
      </c>
      <c r="B547" t="s">
        <v>17</v>
      </c>
      <c r="C547">
        <v>684</v>
      </c>
      <c r="D547" t="s">
        <v>22</v>
      </c>
    </row>
    <row r="548" spans="1:4" x14ac:dyDescent="0.3">
      <c r="A548" s="1">
        <v>32508</v>
      </c>
      <c r="B548" t="s">
        <v>17</v>
      </c>
      <c r="C548">
        <v>2441</v>
      </c>
      <c r="D548" t="s">
        <v>23</v>
      </c>
    </row>
    <row r="549" spans="1:4" x14ac:dyDescent="0.3">
      <c r="A549" s="1">
        <v>32508</v>
      </c>
      <c r="B549" t="s">
        <v>17</v>
      </c>
      <c r="C549">
        <v>878</v>
      </c>
      <c r="D549" t="s">
        <v>24</v>
      </c>
    </row>
    <row r="550" spans="1:4" x14ac:dyDescent="0.3">
      <c r="A550" s="1">
        <v>32508</v>
      </c>
      <c r="B550" t="s">
        <v>17</v>
      </c>
      <c r="C550">
        <v>956</v>
      </c>
      <c r="D550" t="s">
        <v>25</v>
      </c>
    </row>
    <row r="551" spans="1:4" x14ac:dyDescent="0.3">
      <c r="A551" s="1">
        <v>32508</v>
      </c>
      <c r="B551" t="s">
        <v>17</v>
      </c>
      <c r="C551">
        <v>630</v>
      </c>
      <c r="D551" t="s">
        <v>26</v>
      </c>
    </row>
    <row r="552" spans="1:4" x14ac:dyDescent="0.3">
      <c r="A552" s="1">
        <v>32508</v>
      </c>
      <c r="B552" t="s">
        <v>17</v>
      </c>
      <c r="C552">
        <v>1650</v>
      </c>
      <c r="D552" t="s">
        <v>27</v>
      </c>
    </row>
    <row r="553" spans="1:4" x14ac:dyDescent="0.3">
      <c r="A553" s="1">
        <v>32598</v>
      </c>
      <c r="B553" t="s">
        <v>17</v>
      </c>
      <c r="C553">
        <v>563</v>
      </c>
      <c r="D553" t="s">
        <v>18</v>
      </c>
    </row>
    <row r="554" spans="1:4" x14ac:dyDescent="0.3">
      <c r="A554" s="1">
        <v>32598</v>
      </c>
      <c r="B554" t="s">
        <v>17</v>
      </c>
      <c r="C554">
        <v>514</v>
      </c>
      <c r="D554" t="s">
        <v>19</v>
      </c>
    </row>
    <row r="555" spans="1:4" x14ac:dyDescent="0.3">
      <c r="A555" s="1">
        <v>32598</v>
      </c>
      <c r="B555" t="s">
        <v>17</v>
      </c>
      <c r="C555">
        <v>216</v>
      </c>
      <c r="D555" t="s">
        <v>20</v>
      </c>
    </row>
    <row r="556" spans="1:4" x14ac:dyDescent="0.3">
      <c r="A556" s="1">
        <v>32598</v>
      </c>
      <c r="B556" t="s">
        <v>17</v>
      </c>
      <c r="C556">
        <v>1372</v>
      </c>
      <c r="D556" t="s">
        <v>21</v>
      </c>
    </row>
    <row r="557" spans="1:4" x14ac:dyDescent="0.3">
      <c r="A557" s="1">
        <v>32598</v>
      </c>
      <c r="B557" t="s">
        <v>17</v>
      </c>
      <c r="C557">
        <v>688</v>
      </c>
      <c r="D557" t="s">
        <v>22</v>
      </c>
    </row>
    <row r="558" spans="1:4" x14ac:dyDescent="0.3">
      <c r="A558" s="1">
        <v>32598</v>
      </c>
      <c r="B558" t="s">
        <v>17</v>
      </c>
      <c r="C558">
        <v>2473</v>
      </c>
      <c r="D558" t="s">
        <v>23</v>
      </c>
    </row>
    <row r="559" spans="1:4" x14ac:dyDescent="0.3">
      <c r="A559" s="1">
        <v>32598</v>
      </c>
      <c r="B559" t="s">
        <v>17</v>
      </c>
      <c r="C559">
        <v>872</v>
      </c>
      <c r="D559" t="s">
        <v>24</v>
      </c>
    </row>
    <row r="560" spans="1:4" x14ac:dyDescent="0.3">
      <c r="A560" s="1">
        <v>32598</v>
      </c>
      <c r="B560" t="s">
        <v>17</v>
      </c>
      <c r="C560">
        <v>977</v>
      </c>
      <c r="D560" t="s">
        <v>25</v>
      </c>
    </row>
    <row r="561" spans="1:4" x14ac:dyDescent="0.3">
      <c r="A561" s="1">
        <v>32598</v>
      </c>
      <c r="B561" t="s">
        <v>17</v>
      </c>
      <c r="C561">
        <v>627</v>
      </c>
      <c r="D561" t="s">
        <v>26</v>
      </c>
    </row>
    <row r="562" spans="1:4" x14ac:dyDescent="0.3">
      <c r="A562" s="1">
        <v>32598</v>
      </c>
      <c r="B562" t="s">
        <v>17</v>
      </c>
      <c r="C562">
        <v>1737</v>
      </c>
      <c r="D562" t="s">
        <v>27</v>
      </c>
    </row>
    <row r="563" spans="1:4" x14ac:dyDescent="0.3">
      <c r="A563" s="1">
        <v>32689</v>
      </c>
      <c r="B563" t="s">
        <v>17</v>
      </c>
      <c r="C563">
        <v>594</v>
      </c>
      <c r="D563" t="s">
        <v>18</v>
      </c>
    </row>
    <row r="564" spans="1:4" x14ac:dyDescent="0.3">
      <c r="A564" s="1">
        <v>32689</v>
      </c>
      <c r="B564" t="s">
        <v>17</v>
      </c>
      <c r="C564">
        <v>585</v>
      </c>
      <c r="D564" t="s">
        <v>19</v>
      </c>
    </row>
    <row r="565" spans="1:4" x14ac:dyDescent="0.3">
      <c r="A565" s="1">
        <v>32689</v>
      </c>
      <c r="B565" t="s">
        <v>17</v>
      </c>
      <c r="C565">
        <v>229</v>
      </c>
      <c r="D565" t="s">
        <v>20</v>
      </c>
    </row>
    <row r="566" spans="1:4" x14ac:dyDescent="0.3">
      <c r="A566" s="1">
        <v>32689</v>
      </c>
      <c r="B566" t="s">
        <v>17</v>
      </c>
      <c r="C566">
        <v>1472</v>
      </c>
      <c r="D566" t="s">
        <v>21</v>
      </c>
    </row>
    <row r="567" spans="1:4" x14ac:dyDescent="0.3">
      <c r="A567" s="1">
        <v>32689</v>
      </c>
      <c r="B567" t="s">
        <v>17</v>
      </c>
      <c r="C567">
        <v>726</v>
      </c>
      <c r="D567" t="s">
        <v>22</v>
      </c>
    </row>
    <row r="568" spans="1:4" x14ac:dyDescent="0.3">
      <c r="A568" s="1">
        <v>32689</v>
      </c>
      <c r="B568" t="s">
        <v>17</v>
      </c>
      <c r="C568">
        <v>2505</v>
      </c>
      <c r="D568" t="s">
        <v>23</v>
      </c>
    </row>
    <row r="569" spans="1:4" x14ac:dyDescent="0.3">
      <c r="A569" s="1">
        <v>32689</v>
      </c>
      <c r="B569" t="s">
        <v>17</v>
      </c>
      <c r="C569">
        <v>887</v>
      </c>
      <c r="D569" t="s">
        <v>24</v>
      </c>
    </row>
    <row r="570" spans="1:4" x14ac:dyDescent="0.3">
      <c r="A570" s="1">
        <v>32689</v>
      </c>
      <c r="B570" t="s">
        <v>17</v>
      </c>
      <c r="C570">
        <v>1013</v>
      </c>
      <c r="D570" t="s">
        <v>25</v>
      </c>
    </row>
    <row r="571" spans="1:4" x14ac:dyDescent="0.3">
      <c r="A571" s="1">
        <v>32689</v>
      </c>
      <c r="B571" t="s">
        <v>17</v>
      </c>
      <c r="C571">
        <v>659</v>
      </c>
      <c r="D571" t="s">
        <v>26</v>
      </c>
    </row>
    <row r="572" spans="1:4" x14ac:dyDescent="0.3">
      <c r="A572" s="1">
        <v>32689</v>
      </c>
      <c r="B572" t="s">
        <v>17</v>
      </c>
      <c r="C572">
        <v>1838</v>
      </c>
      <c r="D572" t="s">
        <v>27</v>
      </c>
    </row>
    <row r="573" spans="1:4" x14ac:dyDescent="0.3">
      <c r="A573" s="1">
        <v>32781</v>
      </c>
      <c r="B573" t="s">
        <v>17</v>
      </c>
      <c r="C573">
        <v>587</v>
      </c>
      <c r="D573" t="s">
        <v>18</v>
      </c>
    </row>
    <row r="574" spans="1:4" x14ac:dyDescent="0.3">
      <c r="A574" s="1">
        <v>32781</v>
      </c>
      <c r="B574" t="s">
        <v>17</v>
      </c>
      <c r="C574">
        <v>558</v>
      </c>
      <c r="D574" t="s">
        <v>19</v>
      </c>
    </row>
    <row r="575" spans="1:4" x14ac:dyDescent="0.3">
      <c r="A575" s="1">
        <v>32781</v>
      </c>
      <c r="B575" t="s">
        <v>17</v>
      </c>
      <c r="C575">
        <v>255</v>
      </c>
      <c r="D575" t="s">
        <v>20</v>
      </c>
    </row>
    <row r="576" spans="1:4" x14ac:dyDescent="0.3">
      <c r="A576" s="1">
        <v>32781</v>
      </c>
      <c r="B576" t="s">
        <v>17</v>
      </c>
      <c r="C576">
        <v>1422</v>
      </c>
      <c r="D576" t="s">
        <v>21</v>
      </c>
    </row>
    <row r="577" spans="1:4" x14ac:dyDescent="0.3">
      <c r="A577" s="1">
        <v>32781</v>
      </c>
      <c r="B577" t="s">
        <v>17</v>
      </c>
      <c r="C577">
        <v>692</v>
      </c>
      <c r="D577" t="s">
        <v>22</v>
      </c>
    </row>
    <row r="578" spans="1:4" x14ac:dyDescent="0.3">
      <c r="A578" s="1">
        <v>32781</v>
      </c>
      <c r="B578" t="s">
        <v>17</v>
      </c>
      <c r="C578">
        <v>2550</v>
      </c>
      <c r="D578" t="s">
        <v>23</v>
      </c>
    </row>
    <row r="579" spans="1:4" x14ac:dyDescent="0.3">
      <c r="A579" s="1">
        <v>32781</v>
      </c>
      <c r="B579" t="s">
        <v>17</v>
      </c>
      <c r="C579">
        <v>880</v>
      </c>
      <c r="D579" t="s">
        <v>24</v>
      </c>
    </row>
    <row r="580" spans="1:4" x14ac:dyDescent="0.3">
      <c r="A580" s="1">
        <v>32781</v>
      </c>
      <c r="B580" t="s">
        <v>17</v>
      </c>
      <c r="C580">
        <v>966</v>
      </c>
      <c r="D580" t="s">
        <v>25</v>
      </c>
    </row>
    <row r="581" spans="1:4" x14ac:dyDescent="0.3">
      <c r="A581" s="1">
        <v>32781</v>
      </c>
      <c r="B581" t="s">
        <v>17</v>
      </c>
      <c r="C581">
        <v>648</v>
      </c>
      <c r="D581" t="s">
        <v>26</v>
      </c>
    </row>
    <row r="582" spans="1:4" x14ac:dyDescent="0.3">
      <c r="A582" s="1">
        <v>32781</v>
      </c>
      <c r="B582" t="s">
        <v>17</v>
      </c>
      <c r="C582">
        <v>1644</v>
      </c>
      <c r="D582" t="s">
        <v>27</v>
      </c>
    </row>
    <row r="583" spans="1:4" x14ac:dyDescent="0.3">
      <c r="A583" s="1">
        <v>32873</v>
      </c>
      <c r="B583" t="s">
        <v>17</v>
      </c>
      <c r="C583">
        <v>604</v>
      </c>
      <c r="D583" t="s">
        <v>18</v>
      </c>
    </row>
    <row r="584" spans="1:4" x14ac:dyDescent="0.3">
      <c r="A584" s="1">
        <v>32873</v>
      </c>
      <c r="B584" t="s">
        <v>17</v>
      </c>
      <c r="C584">
        <v>550</v>
      </c>
      <c r="D584" t="s">
        <v>19</v>
      </c>
    </row>
    <row r="585" spans="1:4" x14ac:dyDescent="0.3">
      <c r="A585" s="1">
        <v>32873</v>
      </c>
      <c r="B585" t="s">
        <v>17</v>
      </c>
      <c r="C585">
        <v>273</v>
      </c>
      <c r="D585" t="s">
        <v>20</v>
      </c>
    </row>
    <row r="586" spans="1:4" x14ac:dyDescent="0.3">
      <c r="A586" s="1">
        <v>32873</v>
      </c>
      <c r="B586" t="s">
        <v>17</v>
      </c>
      <c r="C586">
        <v>1458</v>
      </c>
      <c r="D586" t="s">
        <v>21</v>
      </c>
    </row>
    <row r="587" spans="1:4" x14ac:dyDescent="0.3">
      <c r="A587" s="1">
        <v>32873</v>
      </c>
      <c r="B587" t="s">
        <v>17</v>
      </c>
      <c r="C587">
        <v>695</v>
      </c>
      <c r="D587" t="s">
        <v>22</v>
      </c>
    </row>
    <row r="588" spans="1:4" x14ac:dyDescent="0.3">
      <c r="A588" s="1">
        <v>32873</v>
      </c>
      <c r="B588" t="s">
        <v>17</v>
      </c>
      <c r="C588">
        <v>2592</v>
      </c>
      <c r="D588" t="s">
        <v>23</v>
      </c>
    </row>
    <row r="589" spans="1:4" x14ac:dyDescent="0.3">
      <c r="A589" s="1">
        <v>32873</v>
      </c>
      <c r="B589" t="s">
        <v>17</v>
      </c>
      <c r="C589">
        <v>879</v>
      </c>
      <c r="D589" t="s">
        <v>24</v>
      </c>
    </row>
    <row r="590" spans="1:4" x14ac:dyDescent="0.3">
      <c r="A590" s="1">
        <v>32873</v>
      </c>
      <c r="B590" t="s">
        <v>17</v>
      </c>
      <c r="C590">
        <v>976</v>
      </c>
      <c r="D590" t="s">
        <v>25</v>
      </c>
    </row>
    <row r="591" spans="1:4" x14ac:dyDescent="0.3">
      <c r="A591" s="1">
        <v>32873</v>
      </c>
      <c r="B591" t="s">
        <v>17</v>
      </c>
      <c r="C591">
        <v>616</v>
      </c>
      <c r="D591" t="s">
        <v>26</v>
      </c>
    </row>
    <row r="592" spans="1:4" x14ac:dyDescent="0.3">
      <c r="A592" s="1">
        <v>32873</v>
      </c>
      <c r="B592" t="s">
        <v>17</v>
      </c>
      <c r="C592">
        <v>1701</v>
      </c>
      <c r="D592" t="s">
        <v>27</v>
      </c>
    </row>
    <row r="593" spans="1:4" x14ac:dyDescent="0.3">
      <c r="A593" s="1">
        <v>32963</v>
      </c>
      <c r="B593" t="s">
        <v>17</v>
      </c>
      <c r="C593">
        <v>632</v>
      </c>
      <c r="D593" t="s">
        <v>18</v>
      </c>
    </row>
    <row r="594" spans="1:4" x14ac:dyDescent="0.3">
      <c r="A594" s="1">
        <v>32963</v>
      </c>
      <c r="B594" t="s">
        <v>17</v>
      </c>
      <c r="C594">
        <v>548</v>
      </c>
      <c r="D594" t="s">
        <v>19</v>
      </c>
    </row>
    <row r="595" spans="1:4" x14ac:dyDescent="0.3">
      <c r="A595" s="1">
        <v>32963</v>
      </c>
      <c r="B595" t="s">
        <v>17</v>
      </c>
      <c r="C595">
        <v>277</v>
      </c>
      <c r="D595" t="s">
        <v>20</v>
      </c>
    </row>
    <row r="596" spans="1:4" x14ac:dyDescent="0.3">
      <c r="A596" s="1">
        <v>32963</v>
      </c>
      <c r="B596" t="s">
        <v>17</v>
      </c>
      <c r="C596">
        <v>1512</v>
      </c>
      <c r="D596" t="s">
        <v>21</v>
      </c>
    </row>
    <row r="597" spans="1:4" x14ac:dyDescent="0.3">
      <c r="A597" s="1">
        <v>32963</v>
      </c>
      <c r="B597" t="s">
        <v>17</v>
      </c>
      <c r="C597">
        <v>700</v>
      </c>
      <c r="D597" t="s">
        <v>22</v>
      </c>
    </row>
    <row r="598" spans="1:4" x14ac:dyDescent="0.3">
      <c r="A598" s="1">
        <v>32963</v>
      </c>
      <c r="B598" t="s">
        <v>17</v>
      </c>
      <c r="C598">
        <v>2653</v>
      </c>
      <c r="D598" t="s">
        <v>23</v>
      </c>
    </row>
    <row r="599" spans="1:4" x14ac:dyDescent="0.3">
      <c r="A599" s="1">
        <v>32963</v>
      </c>
      <c r="B599" t="s">
        <v>17</v>
      </c>
      <c r="C599">
        <v>900</v>
      </c>
      <c r="D599" t="s">
        <v>24</v>
      </c>
    </row>
    <row r="600" spans="1:4" x14ac:dyDescent="0.3">
      <c r="A600" s="1">
        <v>32963</v>
      </c>
      <c r="B600" t="s">
        <v>17</v>
      </c>
      <c r="C600">
        <v>1006</v>
      </c>
      <c r="D600" t="s">
        <v>25</v>
      </c>
    </row>
    <row r="601" spans="1:4" x14ac:dyDescent="0.3">
      <c r="A601" s="1">
        <v>32963</v>
      </c>
      <c r="B601" t="s">
        <v>17</v>
      </c>
      <c r="C601">
        <v>651</v>
      </c>
      <c r="D601" t="s">
        <v>26</v>
      </c>
    </row>
    <row r="602" spans="1:4" x14ac:dyDescent="0.3">
      <c r="A602" s="1">
        <v>32963</v>
      </c>
      <c r="B602" t="s">
        <v>17</v>
      </c>
      <c r="C602">
        <v>1725</v>
      </c>
      <c r="D602" t="s">
        <v>27</v>
      </c>
    </row>
    <row r="603" spans="1:4" x14ac:dyDescent="0.3">
      <c r="A603" s="1">
        <v>33054</v>
      </c>
      <c r="B603" t="s">
        <v>17</v>
      </c>
      <c r="C603">
        <v>658</v>
      </c>
      <c r="D603" t="s">
        <v>18</v>
      </c>
    </row>
    <row r="604" spans="1:4" x14ac:dyDescent="0.3">
      <c r="A604" s="1">
        <v>33054</v>
      </c>
      <c r="B604" t="s">
        <v>17</v>
      </c>
      <c r="C604">
        <v>555</v>
      </c>
      <c r="D604" t="s">
        <v>19</v>
      </c>
    </row>
    <row r="605" spans="1:4" x14ac:dyDescent="0.3">
      <c r="A605" s="1">
        <v>33054</v>
      </c>
      <c r="B605" t="s">
        <v>17</v>
      </c>
      <c r="C605">
        <v>278</v>
      </c>
      <c r="D605" t="s">
        <v>20</v>
      </c>
    </row>
    <row r="606" spans="1:4" x14ac:dyDescent="0.3">
      <c r="A606" s="1">
        <v>33054</v>
      </c>
      <c r="B606" t="s">
        <v>17</v>
      </c>
      <c r="C606">
        <v>1548</v>
      </c>
      <c r="D606" t="s">
        <v>21</v>
      </c>
    </row>
    <row r="607" spans="1:4" x14ac:dyDescent="0.3">
      <c r="A607" s="1">
        <v>33054</v>
      </c>
      <c r="B607" t="s">
        <v>17</v>
      </c>
      <c r="C607">
        <v>692</v>
      </c>
      <c r="D607" t="s">
        <v>22</v>
      </c>
    </row>
    <row r="608" spans="1:4" x14ac:dyDescent="0.3">
      <c r="A608" s="1">
        <v>33054</v>
      </c>
      <c r="B608" t="s">
        <v>17</v>
      </c>
      <c r="C608">
        <v>2711</v>
      </c>
      <c r="D608" t="s">
        <v>23</v>
      </c>
    </row>
    <row r="609" spans="1:4" x14ac:dyDescent="0.3">
      <c r="A609" s="1">
        <v>33054</v>
      </c>
      <c r="B609" t="s">
        <v>17</v>
      </c>
      <c r="C609">
        <v>930</v>
      </c>
      <c r="D609" t="s">
        <v>24</v>
      </c>
    </row>
    <row r="610" spans="1:4" x14ac:dyDescent="0.3">
      <c r="A610" s="1">
        <v>33054</v>
      </c>
      <c r="B610" t="s">
        <v>17</v>
      </c>
      <c r="C610">
        <v>1027</v>
      </c>
      <c r="D610" t="s">
        <v>25</v>
      </c>
    </row>
    <row r="611" spans="1:4" x14ac:dyDescent="0.3">
      <c r="A611" s="1">
        <v>33054</v>
      </c>
      <c r="B611" t="s">
        <v>17</v>
      </c>
      <c r="C611">
        <v>644</v>
      </c>
      <c r="D611" t="s">
        <v>26</v>
      </c>
    </row>
    <row r="612" spans="1:4" x14ac:dyDescent="0.3">
      <c r="A612" s="1">
        <v>33054</v>
      </c>
      <c r="B612" t="s">
        <v>17</v>
      </c>
      <c r="C612">
        <v>1708</v>
      </c>
      <c r="D612" t="s">
        <v>27</v>
      </c>
    </row>
    <row r="613" spans="1:4" x14ac:dyDescent="0.3">
      <c r="A613" s="1">
        <v>33146</v>
      </c>
      <c r="B613" t="s">
        <v>17</v>
      </c>
      <c r="C613">
        <v>679</v>
      </c>
      <c r="D613" t="s">
        <v>18</v>
      </c>
    </row>
    <row r="614" spans="1:4" x14ac:dyDescent="0.3">
      <c r="A614" s="1">
        <v>33146</v>
      </c>
      <c r="B614" t="s">
        <v>17</v>
      </c>
      <c r="C614">
        <v>563</v>
      </c>
      <c r="D614" t="s">
        <v>19</v>
      </c>
    </row>
    <row r="615" spans="1:4" x14ac:dyDescent="0.3">
      <c r="A615" s="1">
        <v>33146</v>
      </c>
      <c r="B615" t="s">
        <v>17</v>
      </c>
      <c r="C615">
        <v>268</v>
      </c>
      <c r="D615" t="s">
        <v>20</v>
      </c>
    </row>
    <row r="616" spans="1:4" x14ac:dyDescent="0.3">
      <c r="A616" s="1">
        <v>33146</v>
      </c>
      <c r="B616" t="s">
        <v>17</v>
      </c>
      <c r="C616">
        <v>1573</v>
      </c>
      <c r="D616" t="s">
        <v>21</v>
      </c>
    </row>
    <row r="617" spans="1:4" x14ac:dyDescent="0.3">
      <c r="A617" s="1">
        <v>33146</v>
      </c>
      <c r="B617" t="s">
        <v>17</v>
      </c>
      <c r="C617">
        <v>688</v>
      </c>
      <c r="D617" t="s">
        <v>22</v>
      </c>
    </row>
    <row r="618" spans="1:4" x14ac:dyDescent="0.3">
      <c r="A618" s="1">
        <v>33146</v>
      </c>
      <c r="B618" t="s">
        <v>17</v>
      </c>
      <c r="C618">
        <v>2772</v>
      </c>
      <c r="D618" t="s">
        <v>23</v>
      </c>
    </row>
    <row r="619" spans="1:4" x14ac:dyDescent="0.3">
      <c r="A619" s="1">
        <v>33146</v>
      </c>
      <c r="B619" t="s">
        <v>17</v>
      </c>
      <c r="C619">
        <v>939</v>
      </c>
      <c r="D619" t="s">
        <v>24</v>
      </c>
    </row>
    <row r="620" spans="1:4" x14ac:dyDescent="0.3">
      <c r="A620" s="1">
        <v>33146</v>
      </c>
      <c r="B620" t="s">
        <v>17</v>
      </c>
      <c r="C620">
        <v>1035</v>
      </c>
      <c r="D620" t="s">
        <v>25</v>
      </c>
    </row>
    <row r="621" spans="1:4" x14ac:dyDescent="0.3">
      <c r="A621" s="1">
        <v>33146</v>
      </c>
      <c r="B621" t="s">
        <v>17</v>
      </c>
      <c r="C621">
        <v>645</v>
      </c>
      <c r="D621" t="s">
        <v>26</v>
      </c>
    </row>
    <row r="622" spans="1:4" x14ac:dyDescent="0.3">
      <c r="A622" s="1">
        <v>33146</v>
      </c>
      <c r="B622" t="s">
        <v>17</v>
      </c>
      <c r="C622">
        <v>1702</v>
      </c>
      <c r="D622" t="s">
        <v>27</v>
      </c>
    </row>
    <row r="623" spans="1:4" x14ac:dyDescent="0.3">
      <c r="A623" s="1">
        <v>33238</v>
      </c>
      <c r="B623" t="s">
        <v>17</v>
      </c>
      <c r="C623">
        <v>700</v>
      </c>
      <c r="D623" t="s">
        <v>18</v>
      </c>
    </row>
    <row r="624" spans="1:4" x14ac:dyDescent="0.3">
      <c r="A624" s="1">
        <v>33238</v>
      </c>
      <c r="B624" t="s">
        <v>17</v>
      </c>
      <c r="C624">
        <v>574</v>
      </c>
      <c r="D624" t="s">
        <v>19</v>
      </c>
    </row>
    <row r="625" spans="1:4" x14ac:dyDescent="0.3">
      <c r="A625" s="1">
        <v>33238</v>
      </c>
      <c r="B625" t="s">
        <v>17</v>
      </c>
      <c r="C625">
        <v>273</v>
      </c>
      <c r="D625" t="s">
        <v>20</v>
      </c>
    </row>
    <row r="626" spans="1:4" x14ac:dyDescent="0.3">
      <c r="A626" s="1">
        <v>33238</v>
      </c>
      <c r="B626" t="s">
        <v>17</v>
      </c>
      <c r="C626">
        <v>1625</v>
      </c>
      <c r="D626" t="s">
        <v>21</v>
      </c>
    </row>
    <row r="627" spans="1:4" x14ac:dyDescent="0.3">
      <c r="A627" s="1">
        <v>33238</v>
      </c>
      <c r="B627" t="s">
        <v>17</v>
      </c>
      <c r="C627">
        <v>695</v>
      </c>
      <c r="D627" t="s">
        <v>22</v>
      </c>
    </row>
    <row r="628" spans="1:4" x14ac:dyDescent="0.3">
      <c r="A628" s="1">
        <v>33238</v>
      </c>
      <c r="B628" t="s">
        <v>17</v>
      </c>
      <c r="C628">
        <v>2812</v>
      </c>
      <c r="D628" t="s">
        <v>23</v>
      </c>
    </row>
    <row r="629" spans="1:4" x14ac:dyDescent="0.3">
      <c r="A629" s="1">
        <v>33238</v>
      </c>
      <c r="B629" t="s">
        <v>17</v>
      </c>
      <c r="C629">
        <v>983</v>
      </c>
      <c r="D629" t="s">
        <v>24</v>
      </c>
    </row>
    <row r="630" spans="1:4" x14ac:dyDescent="0.3">
      <c r="A630" s="1">
        <v>33238</v>
      </c>
      <c r="B630" t="s">
        <v>17</v>
      </c>
      <c r="C630">
        <v>1046</v>
      </c>
      <c r="D630" t="s">
        <v>25</v>
      </c>
    </row>
    <row r="631" spans="1:4" x14ac:dyDescent="0.3">
      <c r="A631" s="1">
        <v>33238</v>
      </c>
      <c r="B631" t="s">
        <v>17</v>
      </c>
      <c r="C631">
        <v>668</v>
      </c>
      <c r="D631" t="s">
        <v>26</v>
      </c>
    </row>
    <row r="632" spans="1:4" x14ac:dyDescent="0.3">
      <c r="A632" s="1">
        <v>33238</v>
      </c>
      <c r="B632" t="s">
        <v>17</v>
      </c>
      <c r="C632">
        <v>1866</v>
      </c>
      <c r="D632" t="s">
        <v>27</v>
      </c>
    </row>
    <row r="633" spans="1:4" x14ac:dyDescent="0.3">
      <c r="A633" s="1">
        <v>33328</v>
      </c>
      <c r="B633" t="s">
        <v>17</v>
      </c>
      <c r="C633">
        <v>693</v>
      </c>
      <c r="D633" t="s">
        <v>18</v>
      </c>
    </row>
    <row r="634" spans="1:4" x14ac:dyDescent="0.3">
      <c r="A634" s="1">
        <v>33328</v>
      </c>
      <c r="B634" t="s">
        <v>17</v>
      </c>
      <c r="C634">
        <v>582</v>
      </c>
      <c r="D634" t="s">
        <v>19</v>
      </c>
    </row>
    <row r="635" spans="1:4" x14ac:dyDescent="0.3">
      <c r="A635" s="1">
        <v>33328</v>
      </c>
      <c r="B635" t="s">
        <v>17</v>
      </c>
      <c r="C635">
        <v>279</v>
      </c>
      <c r="D635" t="s">
        <v>20</v>
      </c>
    </row>
    <row r="636" spans="1:4" x14ac:dyDescent="0.3">
      <c r="A636" s="1">
        <v>33328</v>
      </c>
      <c r="B636" t="s">
        <v>17</v>
      </c>
      <c r="C636">
        <v>1587</v>
      </c>
      <c r="D636" t="s">
        <v>21</v>
      </c>
    </row>
    <row r="637" spans="1:4" x14ac:dyDescent="0.3">
      <c r="A637" s="1">
        <v>33328</v>
      </c>
      <c r="B637" t="s">
        <v>17</v>
      </c>
      <c r="C637">
        <v>673</v>
      </c>
      <c r="D637" t="s">
        <v>22</v>
      </c>
    </row>
    <row r="638" spans="1:4" x14ac:dyDescent="0.3">
      <c r="A638" s="1">
        <v>33328</v>
      </c>
      <c r="B638" t="s">
        <v>17</v>
      </c>
      <c r="C638">
        <v>2846</v>
      </c>
      <c r="D638" t="s">
        <v>23</v>
      </c>
    </row>
    <row r="639" spans="1:4" x14ac:dyDescent="0.3">
      <c r="A639" s="1">
        <v>33328</v>
      </c>
      <c r="B639" t="s">
        <v>17</v>
      </c>
      <c r="C639">
        <v>974</v>
      </c>
      <c r="D639" t="s">
        <v>24</v>
      </c>
    </row>
    <row r="640" spans="1:4" x14ac:dyDescent="0.3">
      <c r="A640" s="1">
        <v>33328</v>
      </c>
      <c r="B640" t="s">
        <v>17</v>
      </c>
      <c r="C640">
        <v>1028</v>
      </c>
      <c r="D640" t="s">
        <v>25</v>
      </c>
    </row>
    <row r="641" spans="1:4" x14ac:dyDescent="0.3">
      <c r="A641" s="1">
        <v>33328</v>
      </c>
      <c r="B641" t="s">
        <v>17</v>
      </c>
      <c r="C641">
        <v>667</v>
      </c>
      <c r="D641" t="s">
        <v>26</v>
      </c>
    </row>
    <row r="642" spans="1:4" x14ac:dyDescent="0.3">
      <c r="A642" s="1">
        <v>33328</v>
      </c>
      <c r="B642" t="s">
        <v>17</v>
      </c>
      <c r="C642">
        <v>1532</v>
      </c>
      <c r="D642" t="s">
        <v>27</v>
      </c>
    </row>
    <row r="643" spans="1:4" x14ac:dyDescent="0.3">
      <c r="A643" s="1">
        <v>33419</v>
      </c>
      <c r="B643" t="s">
        <v>17</v>
      </c>
      <c r="C643">
        <v>681</v>
      </c>
      <c r="D643" t="s">
        <v>18</v>
      </c>
    </row>
    <row r="644" spans="1:4" x14ac:dyDescent="0.3">
      <c r="A644" s="1">
        <v>33419</v>
      </c>
      <c r="B644" t="s">
        <v>17</v>
      </c>
      <c r="C644">
        <v>538</v>
      </c>
      <c r="D644" t="s">
        <v>19</v>
      </c>
    </row>
    <row r="645" spans="1:4" x14ac:dyDescent="0.3">
      <c r="A645" s="1">
        <v>33419</v>
      </c>
      <c r="B645" t="s">
        <v>17</v>
      </c>
      <c r="C645">
        <v>255</v>
      </c>
      <c r="D645" t="s">
        <v>20</v>
      </c>
    </row>
    <row r="646" spans="1:4" x14ac:dyDescent="0.3">
      <c r="A646" s="1">
        <v>33419</v>
      </c>
      <c r="B646" t="s">
        <v>17</v>
      </c>
      <c r="C646">
        <v>1574</v>
      </c>
      <c r="D646" t="s">
        <v>21</v>
      </c>
    </row>
    <row r="647" spans="1:4" x14ac:dyDescent="0.3">
      <c r="A647" s="1">
        <v>33419</v>
      </c>
      <c r="B647" t="s">
        <v>17</v>
      </c>
      <c r="C647">
        <v>671</v>
      </c>
      <c r="D647" t="s">
        <v>22</v>
      </c>
    </row>
    <row r="648" spans="1:4" x14ac:dyDescent="0.3">
      <c r="A648" s="1">
        <v>33419</v>
      </c>
      <c r="B648" t="s">
        <v>17</v>
      </c>
      <c r="C648">
        <v>2872</v>
      </c>
      <c r="D648" t="s">
        <v>23</v>
      </c>
    </row>
    <row r="649" spans="1:4" x14ac:dyDescent="0.3">
      <c r="A649" s="1">
        <v>33419</v>
      </c>
      <c r="B649" t="s">
        <v>17</v>
      </c>
      <c r="C649">
        <v>915</v>
      </c>
      <c r="D649" t="s">
        <v>24</v>
      </c>
    </row>
    <row r="650" spans="1:4" x14ac:dyDescent="0.3">
      <c r="A650" s="1">
        <v>33419</v>
      </c>
      <c r="B650" t="s">
        <v>17</v>
      </c>
      <c r="C650">
        <v>1018</v>
      </c>
      <c r="D650" t="s">
        <v>25</v>
      </c>
    </row>
    <row r="651" spans="1:4" x14ac:dyDescent="0.3">
      <c r="A651" s="1">
        <v>33419</v>
      </c>
      <c r="B651" t="s">
        <v>17</v>
      </c>
      <c r="C651">
        <v>623</v>
      </c>
      <c r="D651" t="s">
        <v>26</v>
      </c>
    </row>
    <row r="652" spans="1:4" x14ac:dyDescent="0.3">
      <c r="A652" s="1">
        <v>33419</v>
      </c>
      <c r="B652" t="s">
        <v>17</v>
      </c>
      <c r="C652">
        <v>1571</v>
      </c>
      <c r="D652" t="s">
        <v>27</v>
      </c>
    </row>
    <row r="653" spans="1:4" x14ac:dyDescent="0.3">
      <c r="A653" s="1">
        <v>33511</v>
      </c>
      <c r="B653" t="s">
        <v>17</v>
      </c>
      <c r="C653">
        <v>679</v>
      </c>
      <c r="D653" t="s">
        <v>18</v>
      </c>
    </row>
    <row r="654" spans="1:4" x14ac:dyDescent="0.3">
      <c r="A654" s="1">
        <v>33511</v>
      </c>
      <c r="B654" t="s">
        <v>17</v>
      </c>
      <c r="C654">
        <v>547</v>
      </c>
      <c r="D654" t="s">
        <v>19</v>
      </c>
    </row>
    <row r="655" spans="1:4" x14ac:dyDescent="0.3">
      <c r="A655" s="1">
        <v>33511</v>
      </c>
      <c r="B655" t="s">
        <v>17</v>
      </c>
      <c r="C655">
        <v>295</v>
      </c>
      <c r="D655" t="s">
        <v>20</v>
      </c>
    </row>
    <row r="656" spans="1:4" x14ac:dyDescent="0.3">
      <c r="A656" s="1">
        <v>33511</v>
      </c>
      <c r="B656" t="s">
        <v>17</v>
      </c>
      <c r="C656">
        <v>1584</v>
      </c>
      <c r="D656" t="s">
        <v>21</v>
      </c>
    </row>
    <row r="657" spans="1:4" x14ac:dyDescent="0.3">
      <c r="A657" s="1">
        <v>33511</v>
      </c>
      <c r="B657" t="s">
        <v>17</v>
      </c>
      <c r="C657">
        <v>677</v>
      </c>
      <c r="D657" t="s">
        <v>22</v>
      </c>
    </row>
    <row r="658" spans="1:4" x14ac:dyDescent="0.3">
      <c r="A658" s="1">
        <v>33511</v>
      </c>
      <c r="B658" t="s">
        <v>17</v>
      </c>
      <c r="C658">
        <v>2867</v>
      </c>
      <c r="D658" t="s">
        <v>23</v>
      </c>
    </row>
    <row r="659" spans="1:4" x14ac:dyDescent="0.3">
      <c r="A659" s="1">
        <v>33511</v>
      </c>
      <c r="B659" t="s">
        <v>17</v>
      </c>
      <c r="C659">
        <v>956</v>
      </c>
      <c r="D659" t="s">
        <v>24</v>
      </c>
    </row>
    <row r="660" spans="1:4" x14ac:dyDescent="0.3">
      <c r="A660" s="1">
        <v>33511</v>
      </c>
      <c r="B660" t="s">
        <v>17</v>
      </c>
      <c r="C660">
        <v>1027</v>
      </c>
      <c r="D660" t="s">
        <v>25</v>
      </c>
    </row>
    <row r="661" spans="1:4" x14ac:dyDescent="0.3">
      <c r="A661" s="1">
        <v>33511</v>
      </c>
      <c r="B661" t="s">
        <v>17</v>
      </c>
      <c r="C661">
        <v>593</v>
      </c>
      <c r="D661" t="s">
        <v>26</v>
      </c>
    </row>
    <row r="662" spans="1:4" x14ac:dyDescent="0.3">
      <c r="A662" s="1">
        <v>33511</v>
      </c>
      <c r="B662" t="s">
        <v>17</v>
      </c>
      <c r="C662">
        <v>1645</v>
      </c>
      <c r="D662" t="s">
        <v>27</v>
      </c>
    </row>
    <row r="663" spans="1:4" x14ac:dyDescent="0.3">
      <c r="A663" s="1">
        <v>33603</v>
      </c>
      <c r="B663" t="s">
        <v>17</v>
      </c>
      <c r="C663">
        <v>671</v>
      </c>
      <c r="D663" t="s">
        <v>18</v>
      </c>
    </row>
    <row r="664" spans="1:4" x14ac:dyDescent="0.3">
      <c r="A664" s="1">
        <v>33603</v>
      </c>
      <c r="B664" t="s">
        <v>17</v>
      </c>
      <c r="C664">
        <v>560</v>
      </c>
      <c r="D664" t="s">
        <v>19</v>
      </c>
    </row>
    <row r="665" spans="1:4" x14ac:dyDescent="0.3">
      <c r="A665" s="1">
        <v>33603</v>
      </c>
      <c r="B665" t="s">
        <v>17</v>
      </c>
      <c r="C665">
        <v>305</v>
      </c>
      <c r="D665" t="s">
        <v>20</v>
      </c>
    </row>
    <row r="666" spans="1:4" x14ac:dyDescent="0.3">
      <c r="A666" s="1">
        <v>33603</v>
      </c>
      <c r="B666" t="s">
        <v>17</v>
      </c>
      <c r="C666">
        <v>1575</v>
      </c>
      <c r="D666" t="s">
        <v>21</v>
      </c>
    </row>
    <row r="667" spans="1:4" x14ac:dyDescent="0.3">
      <c r="A667" s="1">
        <v>33603</v>
      </c>
      <c r="B667" t="s">
        <v>17</v>
      </c>
      <c r="C667">
        <v>676</v>
      </c>
      <c r="D667" t="s">
        <v>22</v>
      </c>
    </row>
    <row r="668" spans="1:4" x14ac:dyDescent="0.3">
      <c r="A668" s="1">
        <v>33603</v>
      </c>
      <c r="B668" t="s">
        <v>17</v>
      </c>
      <c r="C668">
        <v>2885</v>
      </c>
      <c r="D668" t="s">
        <v>23</v>
      </c>
    </row>
    <row r="669" spans="1:4" x14ac:dyDescent="0.3">
      <c r="A669" s="1">
        <v>33603</v>
      </c>
      <c r="B669" t="s">
        <v>17</v>
      </c>
      <c r="C669">
        <v>953</v>
      </c>
      <c r="D669" t="s">
        <v>24</v>
      </c>
    </row>
    <row r="670" spans="1:4" x14ac:dyDescent="0.3">
      <c r="A670" s="1">
        <v>33603</v>
      </c>
      <c r="B670" t="s">
        <v>17</v>
      </c>
      <c r="C670">
        <v>1024</v>
      </c>
      <c r="D670" t="s">
        <v>25</v>
      </c>
    </row>
    <row r="671" spans="1:4" x14ac:dyDescent="0.3">
      <c r="A671" s="1">
        <v>33603</v>
      </c>
      <c r="B671" t="s">
        <v>17</v>
      </c>
      <c r="C671">
        <v>621</v>
      </c>
      <c r="D671" t="s">
        <v>26</v>
      </c>
    </row>
    <row r="672" spans="1:4" x14ac:dyDescent="0.3">
      <c r="A672" s="1">
        <v>33603</v>
      </c>
      <c r="B672" t="s">
        <v>17</v>
      </c>
      <c r="C672">
        <v>1561</v>
      </c>
      <c r="D672" t="s">
        <v>27</v>
      </c>
    </row>
    <row r="673" spans="1:4" x14ac:dyDescent="0.3">
      <c r="A673" s="1">
        <v>33694</v>
      </c>
      <c r="B673" t="s">
        <v>17</v>
      </c>
      <c r="C673">
        <v>688</v>
      </c>
      <c r="D673" t="s">
        <v>18</v>
      </c>
    </row>
    <row r="674" spans="1:4" x14ac:dyDescent="0.3">
      <c r="A674" s="1">
        <v>33694</v>
      </c>
      <c r="B674" t="s">
        <v>17</v>
      </c>
      <c r="C674">
        <v>564</v>
      </c>
      <c r="D674" t="s">
        <v>19</v>
      </c>
    </row>
    <row r="675" spans="1:4" x14ac:dyDescent="0.3">
      <c r="A675" s="1">
        <v>33694</v>
      </c>
      <c r="B675" t="s">
        <v>17</v>
      </c>
      <c r="C675">
        <v>309</v>
      </c>
      <c r="D675" t="s">
        <v>20</v>
      </c>
    </row>
    <row r="676" spans="1:4" x14ac:dyDescent="0.3">
      <c r="A676" s="1">
        <v>33694</v>
      </c>
      <c r="B676" t="s">
        <v>17</v>
      </c>
      <c r="C676">
        <v>1632</v>
      </c>
      <c r="D676" t="s">
        <v>21</v>
      </c>
    </row>
    <row r="677" spans="1:4" x14ac:dyDescent="0.3">
      <c r="A677" s="1">
        <v>33694</v>
      </c>
      <c r="B677" t="s">
        <v>17</v>
      </c>
      <c r="C677">
        <v>694</v>
      </c>
      <c r="D677" t="s">
        <v>22</v>
      </c>
    </row>
    <row r="678" spans="1:4" x14ac:dyDescent="0.3">
      <c r="A678" s="1">
        <v>33694</v>
      </c>
      <c r="B678" t="s">
        <v>17</v>
      </c>
      <c r="C678">
        <v>2882</v>
      </c>
      <c r="D678" t="s">
        <v>23</v>
      </c>
    </row>
    <row r="679" spans="1:4" x14ac:dyDescent="0.3">
      <c r="A679" s="1">
        <v>33694</v>
      </c>
      <c r="B679" t="s">
        <v>17</v>
      </c>
      <c r="C679">
        <v>989</v>
      </c>
      <c r="D679" t="s">
        <v>24</v>
      </c>
    </row>
    <row r="680" spans="1:4" x14ac:dyDescent="0.3">
      <c r="A680" s="1">
        <v>33694</v>
      </c>
      <c r="B680" t="s">
        <v>17</v>
      </c>
      <c r="C680">
        <v>1031</v>
      </c>
      <c r="D680" t="s">
        <v>25</v>
      </c>
    </row>
    <row r="681" spans="1:4" x14ac:dyDescent="0.3">
      <c r="A681" s="1">
        <v>33694</v>
      </c>
      <c r="B681" t="s">
        <v>17</v>
      </c>
      <c r="C681">
        <v>611</v>
      </c>
      <c r="D681" t="s">
        <v>26</v>
      </c>
    </row>
    <row r="682" spans="1:4" x14ac:dyDescent="0.3">
      <c r="A682" s="1">
        <v>33694</v>
      </c>
      <c r="B682" t="s">
        <v>17</v>
      </c>
      <c r="C682">
        <v>1545</v>
      </c>
      <c r="D682" t="s">
        <v>27</v>
      </c>
    </row>
    <row r="683" spans="1:4" x14ac:dyDescent="0.3">
      <c r="A683" s="1">
        <v>33785</v>
      </c>
      <c r="B683" t="s">
        <v>17</v>
      </c>
      <c r="C683">
        <v>676</v>
      </c>
      <c r="D683" t="s">
        <v>18</v>
      </c>
    </row>
    <row r="684" spans="1:4" x14ac:dyDescent="0.3">
      <c r="A684" s="1">
        <v>33785</v>
      </c>
      <c r="B684" t="s">
        <v>17</v>
      </c>
      <c r="C684">
        <v>567</v>
      </c>
      <c r="D684" t="s">
        <v>19</v>
      </c>
    </row>
    <row r="685" spans="1:4" x14ac:dyDescent="0.3">
      <c r="A685" s="1">
        <v>33785</v>
      </c>
      <c r="B685" t="s">
        <v>17</v>
      </c>
      <c r="C685">
        <v>301</v>
      </c>
      <c r="D685" t="s">
        <v>20</v>
      </c>
    </row>
    <row r="686" spans="1:4" x14ac:dyDescent="0.3">
      <c r="A686" s="1">
        <v>33785</v>
      </c>
      <c r="B686" t="s">
        <v>17</v>
      </c>
      <c r="C686">
        <v>1617</v>
      </c>
      <c r="D686" t="s">
        <v>21</v>
      </c>
    </row>
    <row r="687" spans="1:4" x14ac:dyDescent="0.3">
      <c r="A687" s="1">
        <v>33785</v>
      </c>
      <c r="B687" t="s">
        <v>17</v>
      </c>
      <c r="C687">
        <v>701</v>
      </c>
      <c r="D687" t="s">
        <v>22</v>
      </c>
    </row>
    <row r="688" spans="1:4" x14ac:dyDescent="0.3">
      <c r="A688" s="1">
        <v>33785</v>
      </c>
      <c r="B688" t="s">
        <v>17</v>
      </c>
      <c r="C688">
        <v>2888</v>
      </c>
      <c r="D688" t="s">
        <v>23</v>
      </c>
    </row>
    <row r="689" spans="1:4" x14ac:dyDescent="0.3">
      <c r="A689" s="1">
        <v>33785</v>
      </c>
      <c r="B689" t="s">
        <v>17</v>
      </c>
      <c r="C689">
        <v>1002</v>
      </c>
      <c r="D689" t="s">
        <v>24</v>
      </c>
    </row>
    <row r="690" spans="1:4" x14ac:dyDescent="0.3">
      <c r="A690" s="1">
        <v>33785</v>
      </c>
      <c r="B690" t="s">
        <v>17</v>
      </c>
      <c r="C690">
        <v>1041</v>
      </c>
      <c r="D690" t="s">
        <v>25</v>
      </c>
    </row>
    <row r="691" spans="1:4" x14ac:dyDescent="0.3">
      <c r="A691" s="1">
        <v>33785</v>
      </c>
      <c r="B691" t="s">
        <v>17</v>
      </c>
      <c r="C691">
        <v>607</v>
      </c>
      <c r="D691" t="s">
        <v>26</v>
      </c>
    </row>
    <row r="692" spans="1:4" x14ac:dyDescent="0.3">
      <c r="A692" s="1">
        <v>33785</v>
      </c>
      <c r="B692" t="s">
        <v>17</v>
      </c>
      <c r="C692">
        <v>1541</v>
      </c>
      <c r="D692" t="s">
        <v>27</v>
      </c>
    </row>
    <row r="693" spans="1:4" x14ac:dyDescent="0.3">
      <c r="A693" s="1">
        <v>33877</v>
      </c>
      <c r="B693" t="s">
        <v>17</v>
      </c>
      <c r="C693">
        <v>681</v>
      </c>
      <c r="D693" t="s">
        <v>18</v>
      </c>
    </row>
    <row r="694" spans="1:4" x14ac:dyDescent="0.3">
      <c r="A694" s="1">
        <v>33877</v>
      </c>
      <c r="B694" t="s">
        <v>17</v>
      </c>
      <c r="C694">
        <v>560</v>
      </c>
      <c r="D694" t="s">
        <v>19</v>
      </c>
    </row>
    <row r="695" spans="1:4" x14ac:dyDescent="0.3">
      <c r="A695" s="1">
        <v>33877</v>
      </c>
      <c r="B695" t="s">
        <v>17</v>
      </c>
      <c r="C695">
        <v>295</v>
      </c>
      <c r="D695" t="s">
        <v>20</v>
      </c>
    </row>
    <row r="696" spans="1:4" x14ac:dyDescent="0.3">
      <c r="A696" s="1">
        <v>33877</v>
      </c>
      <c r="B696" t="s">
        <v>17</v>
      </c>
      <c r="C696">
        <v>1640</v>
      </c>
      <c r="D696" t="s">
        <v>21</v>
      </c>
    </row>
    <row r="697" spans="1:4" x14ac:dyDescent="0.3">
      <c r="A697" s="1">
        <v>33877</v>
      </c>
      <c r="B697" t="s">
        <v>17</v>
      </c>
      <c r="C697">
        <v>710</v>
      </c>
      <c r="D697" t="s">
        <v>22</v>
      </c>
    </row>
    <row r="698" spans="1:4" x14ac:dyDescent="0.3">
      <c r="A698" s="1">
        <v>33877</v>
      </c>
      <c r="B698" t="s">
        <v>17</v>
      </c>
      <c r="C698">
        <v>2843</v>
      </c>
      <c r="D698" t="s">
        <v>23</v>
      </c>
    </row>
    <row r="699" spans="1:4" x14ac:dyDescent="0.3">
      <c r="A699" s="1">
        <v>33877</v>
      </c>
      <c r="B699" t="s">
        <v>17</v>
      </c>
      <c r="C699">
        <v>999</v>
      </c>
      <c r="D699" t="s">
        <v>24</v>
      </c>
    </row>
    <row r="700" spans="1:4" x14ac:dyDescent="0.3">
      <c r="A700" s="1">
        <v>33877</v>
      </c>
      <c r="B700" t="s">
        <v>17</v>
      </c>
      <c r="C700">
        <v>1048</v>
      </c>
      <c r="D700" t="s">
        <v>25</v>
      </c>
    </row>
    <row r="701" spans="1:4" x14ac:dyDescent="0.3">
      <c r="A701" s="1">
        <v>33877</v>
      </c>
      <c r="B701" t="s">
        <v>17</v>
      </c>
      <c r="C701">
        <v>613</v>
      </c>
      <c r="D701" t="s">
        <v>26</v>
      </c>
    </row>
    <row r="702" spans="1:4" x14ac:dyDescent="0.3">
      <c r="A702" s="1">
        <v>33877</v>
      </c>
      <c r="B702" t="s">
        <v>17</v>
      </c>
      <c r="C702">
        <v>1549</v>
      </c>
      <c r="D702" t="s">
        <v>27</v>
      </c>
    </row>
    <row r="703" spans="1:4" x14ac:dyDescent="0.3">
      <c r="A703" s="1">
        <v>33969</v>
      </c>
      <c r="B703" t="s">
        <v>17</v>
      </c>
      <c r="C703">
        <v>692</v>
      </c>
      <c r="D703" t="s">
        <v>18</v>
      </c>
    </row>
    <row r="704" spans="1:4" x14ac:dyDescent="0.3">
      <c r="A704" s="1">
        <v>33969</v>
      </c>
      <c r="B704" t="s">
        <v>17</v>
      </c>
      <c r="C704">
        <v>554</v>
      </c>
      <c r="D704" t="s">
        <v>19</v>
      </c>
    </row>
    <row r="705" spans="1:4" x14ac:dyDescent="0.3">
      <c r="A705" s="1">
        <v>33969</v>
      </c>
      <c r="B705" t="s">
        <v>17</v>
      </c>
      <c r="C705">
        <v>298</v>
      </c>
      <c r="D705" t="s">
        <v>20</v>
      </c>
    </row>
    <row r="706" spans="1:4" x14ac:dyDescent="0.3">
      <c r="A706" s="1">
        <v>33969</v>
      </c>
      <c r="B706" t="s">
        <v>17</v>
      </c>
      <c r="C706">
        <v>1667</v>
      </c>
      <c r="D706" t="s">
        <v>21</v>
      </c>
    </row>
    <row r="707" spans="1:4" x14ac:dyDescent="0.3">
      <c r="A707" s="1">
        <v>33969</v>
      </c>
      <c r="B707" t="s">
        <v>17</v>
      </c>
      <c r="C707">
        <v>728</v>
      </c>
      <c r="D707" t="s">
        <v>22</v>
      </c>
    </row>
    <row r="708" spans="1:4" x14ac:dyDescent="0.3">
      <c r="A708" s="1">
        <v>33969</v>
      </c>
      <c r="B708" t="s">
        <v>17</v>
      </c>
      <c r="C708">
        <v>2905</v>
      </c>
      <c r="D708" t="s">
        <v>23</v>
      </c>
    </row>
    <row r="709" spans="1:4" x14ac:dyDescent="0.3">
      <c r="A709" s="1">
        <v>33969</v>
      </c>
      <c r="B709" t="s">
        <v>17</v>
      </c>
      <c r="C709">
        <v>999</v>
      </c>
      <c r="D709" t="s">
        <v>24</v>
      </c>
    </row>
    <row r="710" spans="1:4" x14ac:dyDescent="0.3">
      <c r="A710" s="1">
        <v>33969</v>
      </c>
      <c r="B710" t="s">
        <v>17</v>
      </c>
      <c r="C710">
        <v>1073</v>
      </c>
      <c r="D710" t="s">
        <v>25</v>
      </c>
    </row>
    <row r="711" spans="1:4" x14ac:dyDescent="0.3">
      <c r="A711" s="1">
        <v>33969</v>
      </c>
      <c r="B711" t="s">
        <v>17</v>
      </c>
      <c r="C711">
        <v>657</v>
      </c>
      <c r="D711" t="s">
        <v>26</v>
      </c>
    </row>
    <row r="712" spans="1:4" x14ac:dyDescent="0.3">
      <c r="A712" s="1">
        <v>33969</v>
      </c>
      <c r="B712" t="s">
        <v>17</v>
      </c>
      <c r="C712">
        <v>1567</v>
      </c>
      <c r="D712" t="s">
        <v>27</v>
      </c>
    </row>
    <row r="713" spans="1:4" x14ac:dyDescent="0.3">
      <c r="A713" s="1">
        <v>34059</v>
      </c>
      <c r="B713" t="s">
        <v>17</v>
      </c>
      <c r="C713">
        <v>694</v>
      </c>
      <c r="D713" t="s">
        <v>18</v>
      </c>
    </row>
    <row r="714" spans="1:4" x14ac:dyDescent="0.3">
      <c r="A714" s="1">
        <v>34059</v>
      </c>
      <c r="B714" t="s">
        <v>17</v>
      </c>
      <c r="C714">
        <v>559</v>
      </c>
      <c r="D714" t="s">
        <v>19</v>
      </c>
    </row>
    <row r="715" spans="1:4" x14ac:dyDescent="0.3">
      <c r="A715" s="1">
        <v>34059</v>
      </c>
      <c r="B715" t="s">
        <v>17</v>
      </c>
      <c r="C715">
        <v>301</v>
      </c>
      <c r="D715" t="s">
        <v>20</v>
      </c>
    </row>
    <row r="716" spans="1:4" x14ac:dyDescent="0.3">
      <c r="A716" s="1">
        <v>34059</v>
      </c>
      <c r="B716" t="s">
        <v>17</v>
      </c>
      <c r="C716">
        <v>1663</v>
      </c>
      <c r="D716" t="s">
        <v>21</v>
      </c>
    </row>
    <row r="717" spans="1:4" x14ac:dyDescent="0.3">
      <c r="A717" s="1">
        <v>34059</v>
      </c>
      <c r="B717" t="s">
        <v>17</v>
      </c>
      <c r="C717">
        <v>749</v>
      </c>
      <c r="D717" t="s">
        <v>22</v>
      </c>
    </row>
    <row r="718" spans="1:4" x14ac:dyDescent="0.3">
      <c r="A718" s="1">
        <v>34059</v>
      </c>
      <c r="B718" t="s">
        <v>17</v>
      </c>
      <c r="C718">
        <v>2916</v>
      </c>
      <c r="D718" t="s">
        <v>23</v>
      </c>
    </row>
    <row r="719" spans="1:4" x14ac:dyDescent="0.3">
      <c r="A719" s="1">
        <v>34059</v>
      </c>
      <c r="B719" t="s">
        <v>17</v>
      </c>
      <c r="C719">
        <v>981</v>
      </c>
      <c r="D719" t="s">
        <v>24</v>
      </c>
    </row>
    <row r="720" spans="1:4" x14ac:dyDescent="0.3">
      <c r="A720" s="1">
        <v>34059</v>
      </c>
      <c r="B720" t="s">
        <v>17</v>
      </c>
      <c r="C720">
        <v>1085</v>
      </c>
      <c r="D720" t="s">
        <v>25</v>
      </c>
    </row>
    <row r="721" spans="1:4" x14ac:dyDescent="0.3">
      <c r="A721" s="1">
        <v>34059</v>
      </c>
      <c r="B721" t="s">
        <v>17</v>
      </c>
      <c r="C721">
        <v>598</v>
      </c>
      <c r="D721" t="s">
        <v>26</v>
      </c>
    </row>
    <row r="722" spans="1:4" x14ac:dyDescent="0.3">
      <c r="A722" s="1">
        <v>34059</v>
      </c>
      <c r="B722" t="s">
        <v>17</v>
      </c>
      <c r="C722">
        <v>1550</v>
      </c>
      <c r="D722" t="s">
        <v>27</v>
      </c>
    </row>
    <row r="723" spans="1:4" x14ac:dyDescent="0.3">
      <c r="A723" s="1">
        <v>34150</v>
      </c>
      <c r="B723" t="s">
        <v>17</v>
      </c>
      <c r="C723">
        <v>701</v>
      </c>
      <c r="D723" t="s">
        <v>18</v>
      </c>
    </row>
    <row r="724" spans="1:4" x14ac:dyDescent="0.3">
      <c r="A724" s="1">
        <v>34150</v>
      </c>
      <c r="B724" t="s">
        <v>17</v>
      </c>
      <c r="C724">
        <v>580</v>
      </c>
      <c r="D724" t="s">
        <v>19</v>
      </c>
    </row>
    <row r="725" spans="1:4" x14ac:dyDescent="0.3">
      <c r="A725" s="1">
        <v>34150</v>
      </c>
      <c r="B725" t="s">
        <v>17</v>
      </c>
      <c r="C725">
        <v>303</v>
      </c>
      <c r="D725" t="s">
        <v>20</v>
      </c>
    </row>
    <row r="726" spans="1:4" x14ac:dyDescent="0.3">
      <c r="A726" s="1">
        <v>34150</v>
      </c>
      <c r="B726" t="s">
        <v>17</v>
      </c>
      <c r="C726">
        <v>1663</v>
      </c>
      <c r="D726" t="s">
        <v>21</v>
      </c>
    </row>
    <row r="727" spans="1:4" x14ac:dyDescent="0.3">
      <c r="A727" s="1">
        <v>34150</v>
      </c>
      <c r="B727" t="s">
        <v>17</v>
      </c>
      <c r="C727">
        <v>780</v>
      </c>
      <c r="D727" t="s">
        <v>22</v>
      </c>
    </row>
    <row r="728" spans="1:4" x14ac:dyDescent="0.3">
      <c r="A728" s="1">
        <v>34150</v>
      </c>
      <c r="B728" t="s">
        <v>17</v>
      </c>
      <c r="C728">
        <v>2943</v>
      </c>
      <c r="D728" t="s">
        <v>23</v>
      </c>
    </row>
    <row r="729" spans="1:4" x14ac:dyDescent="0.3">
      <c r="A729" s="1">
        <v>34150</v>
      </c>
      <c r="B729" t="s">
        <v>17</v>
      </c>
      <c r="C729">
        <v>977</v>
      </c>
      <c r="D729" t="s">
        <v>24</v>
      </c>
    </row>
    <row r="730" spans="1:4" x14ac:dyDescent="0.3">
      <c r="A730" s="1">
        <v>34150</v>
      </c>
      <c r="B730" t="s">
        <v>17</v>
      </c>
      <c r="C730">
        <v>1122</v>
      </c>
      <c r="D730" t="s">
        <v>25</v>
      </c>
    </row>
    <row r="731" spans="1:4" x14ac:dyDescent="0.3">
      <c r="A731" s="1">
        <v>34150</v>
      </c>
      <c r="B731" t="s">
        <v>17</v>
      </c>
      <c r="C731">
        <v>657</v>
      </c>
      <c r="D731" t="s">
        <v>26</v>
      </c>
    </row>
    <row r="732" spans="1:4" x14ac:dyDescent="0.3">
      <c r="A732" s="1">
        <v>34150</v>
      </c>
      <c r="B732" t="s">
        <v>17</v>
      </c>
      <c r="C732">
        <v>1538</v>
      </c>
      <c r="D732" t="s">
        <v>27</v>
      </c>
    </row>
    <row r="733" spans="1:4" x14ac:dyDescent="0.3">
      <c r="A733" s="1">
        <v>34242</v>
      </c>
      <c r="B733" t="s">
        <v>17</v>
      </c>
      <c r="C733">
        <v>703</v>
      </c>
      <c r="D733" t="s">
        <v>18</v>
      </c>
    </row>
    <row r="734" spans="1:4" x14ac:dyDescent="0.3">
      <c r="A734" s="1">
        <v>34242</v>
      </c>
      <c r="B734" t="s">
        <v>17</v>
      </c>
      <c r="C734">
        <v>589</v>
      </c>
      <c r="D734" t="s">
        <v>19</v>
      </c>
    </row>
    <row r="735" spans="1:4" x14ac:dyDescent="0.3">
      <c r="A735" s="1">
        <v>34242</v>
      </c>
      <c r="B735" t="s">
        <v>17</v>
      </c>
      <c r="C735">
        <v>301</v>
      </c>
      <c r="D735" t="s">
        <v>20</v>
      </c>
    </row>
    <row r="736" spans="1:4" x14ac:dyDescent="0.3">
      <c r="A736" s="1">
        <v>34242</v>
      </c>
      <c r="B736" t="s">
        <v>17</v>
      </c>
      <c r="C736">
        <v>1678</v>
      </c>
      <c r="D736" t="s">
        <v>21</v>
      </c>
    </row>
    <row r="737" spans="1:4" x14ac:dyDescent="0.3">
      <c r="A737" s="1">
        <v>34242</v>
      </c>
      <c r="B737" t="s">
        <v>17</v>
      </c>
      <c r="C737">
        <v>809</v>
      </c>
      <c r="D737" t="s">
        <v>22</v>
      </c>
    </row>
    <row r="738" spans="1:4" x14ac:dyDescent="0.3">
      <c r="A738" s="1">
        <v>34242</v>
      </c>
      <c r="B738" t="s">
        <v>17</v>
      </c>
      <c r="C738">
        <v>2974</v>
      </c>
      <c r="D738" t="s">
        <v>23</v>
      </c>
    </row>
    <row r="739" spans="1:4" x14ac:dyDescent="0.3">
      <c r="A739" s="1">
        <v>34242</v>
      </c>
      <c r="B739" t="s">
        <v>17</v>
      </c>
      <c r="C739">
        <v>980</v>
      </c>
      <c r="D739" t="s">
        <v>24</v>
      </c>
    </row>
    <row r="740" spans="1:4" x14ac:dyDescent="0.3">
      <c r="A740" s="1">
        <v>34242</v>
      </c>
      <c r="B740" t="s">
        <v>17</v>
      </c>
      <c r="C740">
        <v>1162</v>
      </c>
      <c r="D740" t="s">
        <v>25</v>
      </c>
    </row>
    <row r="741" spans="1:4" x14ac:dyDescent="0.3">
      <c r="A741" s="1">
        <v>34242</v>
      </c>
      <c r="B741" t="s">
        <v>17</v>
      </c>
      <c r="C741">
        <v>669</v>
      </c>
      <c r="D741" t="s">
        <v>26</v>
      </c>
    </row>
    <row r="742" spans="1:4" x14ac:dyDescent="0.3">
      <c r="A742" s="1">
        <v>34242</v>
      </c>
      <c r="B742" t="s">
        <v>17</v>
      </c>
      <c r="C742">
        <v>1542</v>
      </c>
      <c r="D742" t="s">
        <v>27</v>
      </c>
    </row>
    <row r="743" spans="1:4" x14ac:dyDescent="0.3">
      <c r="A743" s="1">
        <v>34334</v>
      </c>
      <c r="B743" t="s">
        <v>17</v>
      </c>
      <c r="C743">
        <v>696</v>
      </c>
      <c r="D743" t="s">
        <v>18</v>
      </c>
    </row>
    <row r="744" spans="1:4" x14ac:dyDescent="0.3">
      <c r="A744" s="1">
        <v>34334</v>
      </c>
      <c r="B744" t="s">
        <v>17</v>
      </c>
      <c r="C744">
        <v>587</v>
      </c>
      <c r="D744" t="s">
        <v>19</v>
      </c>
    </row>
    <row r="745" spans="1:4" x14ac:dyDescent="0.3">
      <c r="A745" s="1">
        <v>34334</v>
      </c>
      <c r="B745" t="s">
        <v>17</v>
      </c>
      <c r="C745">
        <v>307</v>
      </c>
      <c r="D745" t="s">
        <v>20</v>
      </c>
    </row>
    <row r="746" spans="1:4" x14ac:dyDescent="0.3">
      <c r="A746" s="1">
        <v>34334</v>
      </c>
      <c r="B746" t="s">
        <v>17</v>
      </c>
      <c r="C746">
        <v>1699</v>
      </c>
      <c r="D746" t="s">
        <v>21</v>
      </c>
    </row>
    <row r="747" spans="1:4" x14ac:dyDescent="0.3">
      <c r="A747" s="1">
        <v>34334</v>
      </c>
      <c r="B747" t="s">
        <v>17</v>
      </c>
      <c r="C747">
        <v>821</v>
      </c>
      <c r="D747" t="s">
        <v>22</v>
      </c>
    </row>
    <row r="748" spans="1:4" x14ac:dyDescent="0.3">
      <c r="A748" s="1">
        <v>34334</v>
      </c>
      <c r="B748" t="s">
        <v>17</v>
      </c>
      <c r="C748">
        <v>2994</v>
      </c>
      <c r="D748" t="s">
        <v>23</v>
      </c>
    </row>
    <row r="749" spans="1:4" x14ac:dyDescent="0.3">
      <c r="A749" s="1">
        <v>34334</v>
      </c>
      <c r="B749" t="s">
        <v>17</v>
      </c>
      <c r="C749">
        <v>968</v>
      </c>
      <c r="D749" t="s">
        <v>24</v>
      </c>
    </row>
    <row r="750" spans="1:4" x14ac:dyDescent="0.3">
      <c r="A750" s="1">
        <v>34334</v>
      </c>
      <c r="B750" t="s">
        <v>17</v>
      </c>
      <c r="C750">
        <v>1163</v>
      </c>
      <c r="D750" t="s">
        <v>25</v>
      </c>
    </row>
    <row r="751" spans="1:4" x14ac:dyDescent="0.3">
      <c r="A751" s="1">
        <v>34334</v>
      </c>
      <c r="B751" t="s">
        <v>17</v>
      </c>
      <c r="C751">
        <v>694</v>
      </c>
      <c r="D751" t="s">
        <v>26</v>
      </c>
    </row>
    <row r="752" spans="1:4" x14ac:dyDescent="0.3">
      <c r="A752" s="1">
        <v>34334</v>
      </c>
      <c r="B752" t="s">
        <v>17</v>
      </c>
      <c r="C752">
        <v>1630</v>
      </c>
      <c r="D752" t="s">
        <v>27</v>
      </c>
    </row>
    <row r="753" spans="1:4" x14ac:dyDescent="0.3">
      <c r="A753" s="1">
        <v>34424</v>
      </c>
      <c r="B753" t="s">
        <v>17</v>
      </c>
      <c r="C753">
        <v>696</v>
      </c>
      <c r="D753" t="s">
        <v>18</v>
      </c>
    </row>
    <row r="754" spans="1:4" x14ac:dyDescent="0.3">
      <c r="A754" s="1">
        <v>34424</v>
      </c>
      <c r="B754" t="s">
        <v>17</v>
      </c>
      <c r="C754">
        <v>585</v>
      </c>
      <c r="D754" t="s">
        <v>19</v>
      </c>
    </row>
    <row r="755" spans="1:4" x14ac:dyDescent="0.3">
      <c r="A755" s="1">
        <v>34424</v>
      </c>
      <c r="B755" t="s">
        <v>17</v>
      </c>
      <c r="C755">
        <v>317</v>
      </c>
      <c r="D755" t="s">
        <v>20</v>
      </c>
    </row>
    <row r="756" spans="1:4" x14ac:dyDescent="0.3">
      <c r="A756" s="1">
        <v>34424</v>
      </c>
      <c r="B756" t="s">
        <v>17</v>
      </c>
      <c r="C756">
        <v>1702</v>
      </c>
      <c r="D756" t="s">
        <v>21</v>
      </c>
    </row>
    <row r="757" spans="1:4" x14ac:dyDescent="0.3">
      <c r="A757" s="1">
        <v>34424</v>
      </c>
      <c r="B757" t="s">
        <v>17</v>
      </c>
      <c r="C757">
        <v>849</v>
      </c>
      <c r="D757" t="s">
        <v>22</v>
      </c>
    </row>
    <row r="758" spans="1:4" x14ac:dyDescent="0.3">
      <c r="A758" s="1">
        <v>34424</v>
      </c>
      <c r="B758" t="s">
        <v>17</v>
      </c>
      <c r="C758">
        <v>3019</v>
      </c>
      <c r="D758" t="s">
        <v>23</v>
      </c>
    </row>
    <row r="759" spans="1:4" x14ac:dyDescent="0.3">
      <c r="A759" s="1">
        <v>34424</v>
      </c>
      <c r="B759" t="s">
        <v>17</v>
      </c>
      <c r="C759">
        <v>975</v>
      </c>
      <c r="D759" t="s">
        <v>24</v>
      </c>
    </row>
    <row r="760" spans="1:4" x14ac:dyDescent="0.3">
      <c r="A760" s="1">
        <v>34424</v>
      </c>
      <c r="B760" t="s">
        <v>17</v>
      </c>
      <c r="C760">
        <v>1204</v>
      </c>
      <c r="D760" t="s">
        <v>25</v>
      </c>
    </row>
    <row r="761" spans="1:4" x14ac:dyDescent="0.3">
      <c r="A761" s="1">
        <v>34424</v>
      </c>
      <c r="B761" t="s">
        <v>17</v>
      </c>
      <c r="C761">
        <v>699</v>
      </c>
      <c r="D761" t="s">
        <v>26</v>
      </c>
    </row>
    <row r="762" spans="1:4" x14ac:dyDescent="0.3">
      <c r="A762" s="1">
        <v>34424</v>
      </c>
      <c r="B762" t="s">
        <v>17</v>
      </c>
      <c r="C762">
        <v>1778</v>
      </c>
      <c r="D762" t="s">
        <v>27</v>
      </c>
    </row>
    <row r="763" spans="1:4" x14ac:dyDescent="0.3">
      <c r="A763" s="1">
        <v>34515</v>
      </c>
      <c r="B763" t="s">
        <v>17</v>
      </c>
      <c r="C763">
        <v>698</v>
      </c>
      <c r="D763" t="s">
        <v>18</v>
      </c>
    </row>
    <row r="764" spans="1:4" x14ac:dyDescent="0.3">
      <c r="A764" s="1">
        <v>34515</v>
      </c>
      <c r="B764" t="s">
        <v>17</v>
      </c>
      <c r="C764">
        <v>607</v>
      </c>
      <c r="D764" t="s">
        <v>19</v>
      </c>
    </row>
    <row r="765" spans="1:4" x14ac:dyDescent="0.3">
      <c r="A765" s="1">
        <v>34515</v>
      </c>
      <c r="B765" t="s">
        <v>17</v>
      </c>
      <c r="C765">
        <v>323</v>
      </c>
      <c r="D765" t="s">
        <v>20</v>
      </c>
    </row>
    <row r="766" spans="1:4" x14ac:dyDescent="0.3">
      <c r="A766" s="1">
        <v>34515</v>
      </c>
      <c r="B766" t="s">
        <v>17</v>
      </c>
      <c r="C766">
        <v>1743</v>
      </c>
      <c r="D766" t="s">
        <v>21</v>
      </c>
    </row>
    <row r="767" spans="1:4" x14ac:dyDescent="0.3">
      <c r="A767" s="1">
        <v>34515</v>
      </c>
      <c r="B767" t="s">
        <v>17</v>
      </c>
      <c r="C767">
        <v>861</v>
      </c>
      <c r="D767" t="s">
        <v>22</v>
      </c>
    </row>
    <row r="768" spans="1:4" x14ac:dyDescent="0.3">
      <c r="A768" s="1">
        <v>34515</v>
      </c>
      <c r="B768" t="s">
        <v>17</v>
      </c>
      <c r="C768">
        <v>3053</v>
      </c>
      <c r="D768" t="s">
        <v>23</v>
      </c>
    </row>
    <row r="769" spans="1:4" x14ac:dyDescent="0.3">
      <c r="A769" s="1">
        <v>34515</v>
      </c>
      <c r="B769" t="s">
        <v>17</v>
      </c>
      <c r="C769">
        <v>1006</v>
      </c>
      <c r="D769" t="s">
        <v>24</v>
      </c>
    </row>
    <row r="770" spans="1:4" x14ac:dyDescent="0.3">
      <c r="A770" s="1">
        <v>34515</v>
      </c>
      <c r="B770" t="s">
        <v>17</v>
      </c>
      <c r="C770">
        <v>1264</v>
      </c>
      <c r="D770" t="s">
        <v>25</v>
      </c>
    </row>
    <row r="771" spans="1:4" x14ac:dyDescent="0.3">
      <c r="A771" s="1">
        <v>34515</v>
      </c>
      <c r="B771" t="s">
        <v>17</v>
      </c>
      <c r="C771">
        <v>741</v>
      </c>
      <c r="D771" t="s">
        <v>26</v>
      </c>
    </row>
    <row r="772" spans="1:4" x14ac:dyDescent="0.3">
      <c r="A772" s="1">
        <v>34515</v>
      </c>
      <c r="B772" t="s">
        <v>17</v>
      </c>
      <c r="C772">
        <v>1773</v>
      </c>
      <c r="D772" t="s">
        <v>27</v>
      </c>
    </row>
    <row r="773" spans="1:4" x14ac:dyDescent="0.3">
      <c r="A773" s="1">
        <v>34607</v>
      </c>
      <c r="B773" t="s">
        <v>17</v>
      </c>
      <c r="C773">
        <v>696</v>
      </c>
      <c r="D773" t="s">
        <v>18</v>
      </c>
    </row>
    <row r="774" spans="1:4" x14ac:dyDescent="0.3">
      <c r="A774" s="1">
        <v>34607</v>
      </c>
      <c r="B774" t="s">
        <v>17</v>
      </c>
      <c r="C774">
        <v>621</v>
      </c>
      <c r="D774" t="s">
        <v>19</v>
      </c>
    </row>
    <row r="775" spans="1:4" x14ac:dyDescent="0.3">
      <c r="A775" s="1">
        <v>34607</v>
      </c>
      <c r="B775" t="s">
        <v>17</v>
      </c>
      <c r="C775">
        <v>324</v>
      </c>
      <c r="D775" t="s">
        <v>20</v>
      </c>
    </row>
    <row r="776" spans="1:4" x14ac:dyDescent="0.3">
      <c r="A776" s="1">
        <v>34607</v>
      </c>
      <c r="B776" t="s">
        <v>17</v>
      </c>
      <c r="C776">
        <v>1780</v>
      </c>
      <c r="D776" t="s">
        <v>21</v>
      </c>
    </row>
    <row r="777" spans="1:4" x14ac:dyDescent="0.3">
      <c r="A777" s="1">
        <v>34607</v>
      </c>
      <c r="B777" t="s">
        <v>17</v>
      </c>
      <c r="C777">
        <v>881</v>
      </c>
      <c r="D777" t="s">
        <v>22</v>
      </c>
    </row>
    <row r="778" spans="1:4" x14ac:dyDescent="0.3">
      <c r="A778" s="1">
        <v>34607</v>
      </c>
      <c r="B778" t="s">
        <v>17</v>
      </c>
      <c r="C778">
        <v>3141</v>
      </c>
      <c r="D778" t="s">
        <v>23</v>
      </c>
    </row>
    <row r="779" spans="1:4" x14ac:dyDescent="0.3">
      <c r="A779" s="1">
        <v>34607</v>
      </c>
      <c r="B779" t="s">
        <v>17</v>
      </c>
      <c r="C779">
        <v>1016</v>
      </c>
      <c r="D779" t="s">
        <v>24</v>
      </c>
    </row>
    <row r="780" spans="1:4" x14ac:dyDescent="0.3">
      <c r="A780" s="1">
        <v>34607</v>
      </c>
      <c r="B780" t="s">
        <v>17</v>
      </c>
      <c r="C780">
        <v>1285</v>
      </c>
      <c r="D780" t="s">
        <v>25</v>
      </c>
    </row>
    <row r="781" spans="1:4" x14ac:dyDescent="0.3">
      <c r="A781" s="1">
        <v>34607</v>
      </c>
      <c r="B781" t="s">
        <v>17</v>
      </c>
      <c r="C781">
        <v>730</v>
      </c>
      <c r="D781" t="s">
        <v>26</v>
      </c>
    </row>
    <row r="782" spans="1:4" x14ac:dyDescent="0.3">
      <c r="A782" s="1">
        <v>34607</v>
      </c>
      <c r="B782" t="s">
        <v>17</v>
      </c>
      <c r="C782">
        <v>1844</v>
      </c>
      <c r="D782" t="s">
        <v>27</v>
      </c>
    </row>
    <row r="783" spans="1:4" x14ac:dyDescent="0.3">
      <c r="A783" s="1">
        <v>34699</v>
      </c>
      <c r="B783" t="s">
        <v>17</v>
      </c>
      <c r="C783">
        <v>693</v>
      </c>
      <c r="D783" t="s">
        <v>18</v>
      </c>
    </row>
    <row r="784" spans="1:4" x14ac:dyDescent="0.3">
      <c r="A784" s="1">
        <v>34699</v>
      </c>
      <c r="B784" t="s">
        <v>17</v>
      </c>
      <c r="C784">
        <v>626</v>
      </c>
      <c r="D784" t="s">
        <v>19</v>
      </c>
    </row>
    <row r="785" spans="1:4" x14ac:dyDescent="0.3">
      <c r="A785" s="1">
        <v>34699</v>
      </c>
      <c r="B785" t="s">
        <v>17</v>
      </c>
      <c r="C785">
        <v>330</v>
      </c>
      <c r="D785" t="s">
        <v>20</v>
      </c>
    </row>
    <row r="786" spans="1:4" x14ac:dyDescent="0.3">
      <c r="A786" s="1">
        <v>34699</v>
      </c>
      <c r="B786" t="s">
        <v>17</v>
      </c>
      <c r="C786">
        <v>1856</v>
      </c>
      <c r="D786" t="s">
        <v>21</v>
      </c>
    </row>
    <row r="787" spans="1:4" x14ac:dyDescent="0.3">
      <c r="A787" s="1">
        <v>34699</v>
      </c>
      <c r="B787" t="s">
        <v>17</v>
      </c>
      <c r="C787">
        <v>877</v>
      </c>
      <c r="D787" t="s">
        <v>22</v>
      </c>
    </row>
    <row r="788" spans="1:4" x14ac:dyDescent="0.3">
      <c r="A788" s="1">
        <v>34699</v>
      </c>
      <c r="B788" t="s">
        <v>17</v>
      </c>
      <c r="C788">
        <v>3208</v>
      </c>
      <c r="D788" t="s">
        <v>23</v>
      </c>
    </row>
    <row r="789" spans="1:4" x14ac:dyDescent="0.3">
      <c r="A789" s="1">
        <v>34699</v>
      </c>
      <c r="B789" t="s">
        <v>17</v>
      </c>
      <c r="C789">
        <v>1027</v>
      </c>
      <c r="D789" t="s">
        <v>24</v>
      </c>
    </row>
    <row r="790" spans="1:4" x14ac:dyDescent="0.3">
      <c r="A790" s="1">
        <v>34699</v>
      </c>
      <c r="B790" t="s">
        <v>17</v>
      </c>
      <c r="C790">
        <v>1284</v>
      </c>
      <c r="D790" t="s">
        <v>25</v>
      </c>
    </row>
    <row r="791" spans="1:4" x14ac:dyDescent="0.3">
      <c r="A791" s="1">
        <v>34699</v>
      </c>
      <c r="B791" t="s">
        <v>17</v>
      </c>
      <c r="C791">
        <v>790</v>
      </c>
      <c r="D791" t="s">
        <v>26</v>
      </c>
    </row>
    <row r="792" spans="1:4" x14ac:dyDescent="0.3">
      <c r="A792" s="1">
        <v>34699</v>
      </c>
      <c r="B792" t="s">
        <v>17</v>
      </c>
      <c r="C792">
        <v>1883</v>
      </c>
      <c r="D792" t="s">
        <v>27</v>
      </c>
    </row>
    <row r="793" spans="1:4" x14ac:dyDescent="0.3">
      <c r="A793" s="1">
        <v>34789</v>
      </c>
      <c r="B793" t="s">
        <v>17</v>
      </c>
      <c r="C793">
        <v>703</v>
      </c>
      <c r="D793" t="s">
        <v>18</v>
      </c>
    </row>
    <row r="794" spans="1:4" x14ac:dyDescent="0.3">
      <c r="A794" s="1">
        <v>34789</v>
      </c>
      <c r="B794" t="s">
        <v>17</v>
      </c>
      <c r="C794">
        <v>619</v>
      </c>
      <c r="D794" t="s">
        <v>19</v>
      </c>
    </row>
    <row r="795" spans="1:4" x14ac:dyDescent="0.3">
      <c r="A795" s="1">
        <v>34789</v>
      </c>
      <c r="B795" t="s">
        <v>17</v>
      </c>
      <c r="C795">
        <v>340</v>
      </c>
      <c r="D795" t="s">
        <v>20</v>
      </c>
    </row>
    <row r="796" spans="1:4" x14ac:dyDescent="0.3">
      <c r="A796" s="1">
        <v>34789</v>
      </c>
      <c r="B796" t="s">
        <v>17</v>
      </c>
      <c r="C796">
        <v>1838</v>
      </c>
      <c r="D796" t="s">
        <v>21</v>
      </c>
    </row>
    <row r="797" spans="1:4" x14ac:dyDescent="0.3">
      <c r="A797" s="1">
        <v>34789</v>
      </c>
      <c r="B797" t="s">
        <v>17</v>
      </c>
      <c r="C797">
        <v>903</v>
      </c>
      <c r="D797" t="s">
        <v>22</v>
      </c>
    </row>
    <row r="798" spans="1:4" x14ac:dyDescent="0.3">
      <c r="A798" s="1">
        <v>34789</v>
      </c>
      <c r="B798" t="s">
        <v>17</v>
      </c>
      <c r="C798">
        <v>3291</v>
      </c>
      <c r="D798" t="s">
        <v>23</v>
      </c>
    </row>
    <row r="799" spans="1:4" x14ac:dyDescent="0.3">
      <c r="A799" s="1">
        <v>34789</v>
      </c>
      <c r="B799" t="s">
        <v>17</v>
      </c>
      <c r="C799">
        <v>1053</v>
      </c>
      <c r="D799" t="s">
        <v>24</v>
      </c>
    </row>
    <row r="800" spans="1:4" x14ac:dyDescent="0.3">
      <c r="A800" s="1">
        <v>34789</v>
      </c>
      <c r="B800" t="s">
        <v>17</v>
      </c>
      <c r="C800">
        <v>1305</v>
      </c>
      <c r="D800" t="s">
        <v>25</v>
      </c>
    </row>
    <row r="801" spans="1:4" x14ac:dyDescent="0.3">
      <c r="A801" s="1">
        <v>34789</v>
      </c>
      <c r="B801" t="s">
        <v>17</v>
      </c>
      <c r="C801">
        <v>799</v>
      </c>
      <c r="D801" t="s">
        <v>26</v>
      </c>
    </row>
    <row r="802" spans="1:4" x14ac:dyDescent="0.3">
      <c r="A802" s="1">
        <v>34789</v>
      </c>
      <c r="B802" t="s">
        <v>17</v>
      </c>
      <c r="C802">
        <v>1946</v>
      </c>
      <c r="D802" t="s">
        <v>27</v>
      </c>
    </row>
    <row r="803" spans="1:4" x14ac:dyDescent="0.3">
      <c r="A803" s="1">
        <v>34880</v>
      </c>
      <c r="B803" t="s">
        <v>17</v>
      </c>
      <c r="C803">
        <v>727</v>
      </c>
      <c r="D803" t="s">
        <v>18</v>
      </c>
    </row>
    <row r="804" spans="1:4" x14ac:dyDescent="0.3">
      <c r="A804" s="1">
        <v>34880</v>
      </c>
      <c r="B804" t="s">
        <v>17</v>
      </c>
      <c r="C804">
        <v>599</v>
      </c>
      <c r="D804" t="s">
        <v>19</v>
      </c>
    </row>
    <row r="805" spans="1:4" x14ac:dyDescent="0.3">
      <c r="A805" s="1">
        <v>34880</v>
      </c>
      <c r="B805" t="s">
        <v>17</v>
      </c>
      <c r="C805">
        <v>358</v>
      </c>
      <c r="D805" t="s">
        <v>20</v>
      </c>
    </row>
    <row r="806" spans="1:4" x14ac:dyDescent="0.3">
      <c r="A806" s="1">
        <v>34880</v>
      </c>
      <c r="B806" t="s">
        <v>17</v>
      </c>
      <c r="C806">
        <v>1882</v>
      </c>
      <c r="D806" t="s">
        <v>21</v>
      </c>
    </row>
    <row r="807" spans="1:4" x14ac:dyDescent="0.3">
      <c r="A807" s="1">
        <v>34880</v>
      </c>
      <c r="B807" t="s">
        <v>17</v>
      </c>
      <c r="C807">
        <v>903</v>
      </c>
      <c r="D807" t="s">
        <v>22</v>
      </c>
    </row>
    <row r="808" spans="1:4" x14ac:dyDescent="0.3">
      <c r="A808" s="1">
        <v>34880</v>
      </c>
      <c r="B808" t="s">
        <v>17</v>
      </c>
      <c r="C808">
        <v>3347</v>
      </c>
      <c r="D808" t="s">
        <v>23</v>
      </c>
    </row>
    <row r="809" spans="1:4" x14ac:dyDescent="0.3">
      <c r="A809" s="1">
        <v>34880</v>
      </c>
      <c r="B809" t="s">
        <v>17</v>
      </c>
      <c r="C809">
        <v>1064</v>
      </c>
      <c r="D809" t="s">
        <v>24</v>
      </c>
    </row>
    <row r="810" spans="1:4" x14ac:dyDescent="0.3">
      <c r="A810" s="1">
        <v>34880</v>
      </c>
      <c r="B810" t="s">
        <v>17</v>
      </c>
      <c r="C810">
        <v>1309</v>
      </c>
      <c r="D810" t="s">
        <v>25</v>
      </c>
    </row>
    <row r="811" spans="1:4" x14ac:dyDescent="0.3">
      <c r="A811" s="1">
        <v>34880</v>
      </c>
      <c r="B811" t="s">
        <v>17</v>
      </c>
      <c r="C811">
        <v>725</v>
      </c>
      <c r="D811" t="s">
        <v>26</v>
      </c>
    </row>
    <row r="812" spans="1:4" x14ac:dyDescent="0.3">
      <c r="A812" s="1">
        <v>34880</v>
      </c>
      <c r="B812" t="s">
        <v>17</v>
      </c>
      <c r="C812">
        <v>1972</v>
      </c>
      <c r="D812" t="s">
        <v>27</v>
      </c>
    </row>
    <row r="813" spans="1:4" x14ac:dyDescent="0.3">
      <c r="A813" s="1">
        <v>34972</v>
      </c>
      <c r="B813" t="s">
        <v>17</v>
      </c>
      <c r="C813">
        <v>728</v>
      </c>
      <c r="D813" t="s">
        <v>18</v>
      </c>
    </row>
    <row r="814" spans="1:4" x14ac:dyDescent="0.3">
      <c r="A814" s="1">
        <v>34972</v>
      </c>
      <c r="B814" t="s">
        <v>17</v>
      </c>
      <c r="C814">
        <v>605</v>
      </c>
      <c r="D814" t="s">
        <v>19</v>
      </c>
    </row>
    <row r="815" spans="1:4" x14ac:dyDescent="0.3">
      <c r="A815" s="1">
        <v>34972</v>
      </c>
      <c r="B815" t="s">
        <v>17</v>
      </c>
      <c r="C815">
        <v>371</v>
      </c>
      <c r="D815" t="s">
        <v>20</v>
      </c>
    </row>
    <row r="816" spans="1:4" x14ac:dyDescent="0.3">
      <c r="A816" s="1">
        <v>34972</v>
      </c>
      <c r="B816" t="s">
        <v>17</v>
      </c>
      <c r="C816">
        <v>1857</v>
      </c>
      <c r="D816" t="s">
        <v>21</v>
      </c>
    </row>
    <row r="817" spans="1:4" x14ac:dyDescent="0.3">
      <c r="A817" s="1">
        <v>34972</v>
      </c>
      <c r="B817" t="s">
        <v>17</v>
      </c>
      <c r="C817">
        <v>892</v>
      </c>
      <c r="D817" t="s">
        <v>22</v>
      </c>
    </row>
    <row r="818" spans="1:4" x14ac:dyDescent="0.3">
      <c r="A818" s="1">
        <v>34972</v>
      </c>
      <c r="B818" t="s">
        <v>17</v>
      </c>
      <c r="C818">
        <v>3438</v>
      </c>
      <c r="D818" t="s">
        <v>23</v>
      </c>
    </row>
    <row r="819" spans="1:4" x14ac:dyDescent="0.3">
      <c r="A819" s="1">
        <v>34972</v>
      </c>
      <c r="B819" t="s">
        <v>17</v>
      </c>
      <c r="C819">
        <v>1085</v>
      </c>
      <c r="D819" t="s">
        <v>24</v>
      </c>
    </row>
    <row r="820" spans="1:4" x14ac:dyDescent="0.3">
      <c r="A820" s="1">
        <v>34972</v>
      </c>
      <c r="B820" t="s">
        <v>17</v>
      </c>
      <c r="C820">
        <v>1336</v>
      </c>
      <c r="D820" t="s">
        <v>25</v>
      </c>
    </row>
    <row r="821" spans="1:4" x14ac:dyDescent="0.3">
      <c r="A821" s="1">
        <v>34972</v>
      </c>
      <c r="B821" t="s">
        <v>17</v>
      </c>
      <c r="C821">
        <v>762</v>
      </c>
      <c r="D821" t="s">
        <v>26</v>
      </c>
    </row>
    <row r="822" spans="1:4" x14ac:dyDescent="0.3">
      <c r="A822" s="1">
        <v>34972</v>
      </c>
      <c r="B822" t="s">
        <v>17</v>
      </c>
      <c r="C822">
        <v>2038</v>
      </c>
      <c r="D822" t="s">
        <v>27</v>
      </c>
    </row>
    <row r="823" spans="1:4" x14ac:dyDescent="0.3">
      <c r="A823" s="1">
        <v>35064</v>
      </c>
      <c r="B823" t="s">
        <v>17</v>
      </c>
      <c r="C823">
        <v>745</v>
      </c>
      <c r="D823" t="s">
        <v>18</v>
      </c>
    </row>
    <row r="824" spans="1:4" x14ac:dyDescent="0.3">
      <c r="A824" s="1">
        <v>35064</v>
      </c>
      <c r="B824" t="s">
        <v>17</v>
      </c>
      <c r="C824">
        <v>614</v>
      </c>
      <c r="D824" t="s">
        <v>19</v>
      </c>
    </row>
    <row r="825" spans="1:4" x14ac:dyDescent="0.3">
      <c r="A825" s="1">
        <v>35064</v>
      </c>
      <c r="B825" t="s">
        <v>17</v>
      </c>
      <c r="C825">
        <v>375</v>
      </c>
      <c r="D825" t="s">
        <v>20</v>
      </c>
    </row>
    <row r="826" spans="1:4" x14ac:dyDescent="0.3">
      <c r="A826" s="1">
        <v>35064</v>
      </c>
      <c r="B826" t="s">
        <v>17</v>
      </c>
      <c r="C826">
        <v>1867</v>
      </c>
      <c r="D826" t="s">
        <v>21</v>
      </c>
    </row>
    <row r="827" spans="1:4" x14ac:dyDescent="0.3">
      <c r="A827" s="1">
        <v>35064</v>
      </c>
      <c r="B827" t="s">
        <v>17</v>
      </c>
      <c r="C827">
        <v>910</v>
      </c>
      <c r="D827" t="s">
        <v>22</v>
      </c>
    </row>
    <row r="828" spans="1:4" x14ac:dyDescent="0.3">
      <c r="A828" s="1">
        <v>35064</v>
      </c>
      <c r="B828" t="s">
        <v>17</v>
      </c>
      <c r="C828">
        <v>3510</v>
      </c>
      <c r="D828" t="s">
        <v>23</v>
      </c>
    </row>
    <row r="829" spans="1:4" x14ac:dyDescent="0.3">
      <c r="A829" s="1">
        <v>35064</v>
      </c>
      <c r="B829" t="s">
        <v>17</v>
      </c>
      <c r="C829">
        <v>1112</v>
      </c>
      <c r="D829" t="s">
        <v>24</v>
      </c>
    </row>
    <row r="830" spans="1:4" x14ac:dyDescent="0.3">
      <c r="A830" s="1">
        <v>35064</v>
      </c>
      <c r="B830" t="s">
        <v>17</v>
      </c>
      <c r="C830">
        <v>1399</v>
      </c>
      <c r="D830" t="s">
        <v>25</v>
      </c>
    </row>
    <row r="831" spans="1:4" x14ac:dyDescent="0.3">
      <c r="A831" s="1">
        <v>35064</v>
      </c>
      <c r="B831" t="s">
        <v>17</v>
      </c>
      <c r="C831">
        <v>725</v>
      </c>
      <c r="D831" t="s">
        <v>26</v>
      </c>
    </row>
    <row r="832" spans="1:4" x14ac:dyDescent="0.3">
      <c r="A832" s="1">
        <v>35064</v>
      </c>
      <c r="B832" t="s">
        <v>17</v>
      </c>
      <c r="C832">
        <v>2099</v>
      </c>
      <c r="D832" t="s">
        <v>27</v>
      </c>
    </row>
    <row r="833" spans="1:4" x14ac:dyDescent="0.3">
      <c r="A833" s="1">
        <v>35155</v>
      </c>
      <c r="B833" t="s">
        <v>17</v>
      </c>
      <c r="C833">
        <v>755</v>
      </c>
      <c r="D833" t="s">
        <v>18</v>
      </c>
    </row>
    <row r="834" spans="1:4" x14ac:dyDescent="0.3">
      <c r="A834" s="1">
        <v>35155</v>
      </c>
      <c r="B834" t="s">
        <v>17</v>
      </c>
      <c r="C834">
        <v>632</v>
      </c>
      <c r="D834" t="s">
        <v>19</v>
      </c>
    </row>
    <row r="835" spans="1:4" x14ac:dyDescent="0.3">
      <c r="A835" s="1">
        <v>35155</v>
      </c>
      <c r="B835" t="s">
        <v>17</v>
      </c>
      <c r="C835">
        <v>393</v>
      </c>
      <c r="D835" t="s">
        <v>20</v>
      </c>
    </row>
    <row r="836" spans="1:4" x14ac:dyDescent="0.3">
      <c r="A836" s="1">
        <v>35155</v>
      </c>
      <c r="B836" t="s">
        <v>17</v>
      </c>
      <c r="C836">
        <v>1967</v>
      </c>
      <c r="D836" t="s">
        <v>21</v>
      </c>
    </row>
    <row r="837" spans="1:4" x14ac:dyDescent="0.3">
      <c r="A837" s="1">
        <v>35155</v>
      </c>
      <c r="B837" t="s">
        <v>17</v>
      </c>
      <c r="C837">
        <v>890</v>
      </c>
      <c r="D837" t="s">
        <v>22</v>
      </c>
    </row>
    <row r="838" spans="1:4" x14ac:dyDescent="0.3">
      <c r="A838" s="1">
        <v>35155</v>
      </c>
      <c r="B838" t="s">
        <v>17</v>
      </c>
      <c r="C838">
        <v>3596</v>
      </c>
      <c r="D838" t="s">
        <v>23</v>
      </c>
    </row>
    <row r="839" spans="1:4" x14ac:dyDescent="0.3">
      <c r="A839" s="1">
        <v>35155</v>
      </c>
      <c r="B839" t="s">
        <v>17</v>
      </c>
      <c r="C839">
        <v>1118</v>
      </c>
      <c r="D839" t="s">
        <v>24</v>
      </c>
    </row>
    <row r="840" spans="1:4" x14ac:dyDescent="0.3">
      <c r="A840" s="1">
        <v>35155</v>
      </c>
      <c r="B840" t="s">
        <v>17</v>
      </c>
      <c r="C840">
        <v>1428</v>
      </c>
      <c r="D840" t="s">
        <v>25</v>
      </c>
    </row>
    <row r="841" spans="1:4" x14ac:dyDescent="0.3">
      <c r="A841" s="1">
        <v>35155</v>
      </c>
      <c r="B841" t="s">
        <v>17</v>
      </c>
      <c r="C841">
        <v>772</v>
      </c>
      <c r="D841" t="s">
        <v>26</v>
      </c>
    </row>
    <row r="842" spans="1:4" x14ac:dyDescent="0.3">
      <c r="A842" s="1">
        <v>35155</v>
      </c>
      <c r="B842" t="s">
        <v>17</v>
      </c>
      <c r="C842">
        <v>2212</v>
      </c>
      <c r="D842" t="s">
        <v>27</v>
      </c>
    </row>
    <row r="843" spans="1:4" x14ac:dyDescent="0.3">
      <c r="A843" s="1">
        <v>35246</v>
      </c>
      <c r="B843" t="s">
        <v>17</v>
      </c>
      <c r="C843">
        <v>759</v>
      </c>
      <c r="D843" t="s">
        <v>18</v>
      </c>
    </row>
    <row r="844" spans="1:4" x14ac:dyDescent="0.3">
      <c r="A844" s="1">
        <v>35246</v>
      </c>
      <c r="B844" t="s">
        <v>17</v>
      </c>
      <c r="C844">
        <v>646</v>
      </c>
      <c r="D844" t="s">
        <v>19</v>
      </c>
    </row>
    <row r="845" spans="1:4" x14ac:dyDescent="0.3">
      <c r="A845" s="1">
        <v>35246</v>
      </c>
      <c r="B845" t="s">
        <v>17</v>
      </c>
      <c r="C845">
        <v>394</v>
      </c>
      <c r="D845" t="s">
        <v>20</v>
      </c>
    </row>
    <row r="846" spans="1:4" x14ac:dyDescent="0.3">
      <c r="A846" s="1">
        <v>35246</v>
      </c>
      <c r="B846" t="s">
        <v>17</v>
      </c>
      <c r="C846">
        <v>1965</v>
      </c>
      <c r="D846" t="s">
        <v>21</v>
      </c>
    </row>
    <row r="847" spans="1:4" x14ac:dyDescent="0.3">
      <c r="A847" s="1">
        <v>35246</v>
      </c>
      <c r="B847" t="s">
        <v>17</v>
      </c>
      <c r="C847">
        <v>905</v>
      </c>
      <c r="D847" t="s">
        <v>22</v>
      </c>
    </row>
    <row r="848" spans="1:4" x14ac:dyDescent="0.3">
      <c r="A848" s="1">
        <v>35246</v>
      </c>
      <c r="B848" t="s">
        <v>17</v>
      </c>
      <c r="C848">
        <v>3676</v>
      </c>
      <c r="D848" t="s">
        <v>23</v>
      </c>
    </row>
    <row r="849" spans="1:4" x14ac:dyDescent="0.3">
      <c r="A849" s="1">
        <v>35246</v>
      </c>
      <c r="B849" t="s">
        <v>17</v>
      </c>
      <c r="C849">
        <v>1118</v>
      </c>
      <c r="D849" t="s">
        <v>24</v>
      </c>
    </row>
    <row r="850" spans="1:4" x14ac:dyDescent="0.3">
      <c r="A850" s="1">
        <v>35246</v>
      </c>
      <c r="B850" t="s">
        <v>17</v>
      </c>
      <c r="C850">
        <v>1450</v>
      </c>
      <c r="D850" t="s">
        <v>25</v>
      </c>
    </row>
    <row r="851" spans="1:4" x14ac:dyDescent="0.3">
      <c r="A851" s="1">
        <v>35246</v>
      </c>
      <c r="B851" t="s">
        <v>17</v>
      </c>
      <c r="C851">
        <v>810</v>
      </c>
      <c r="D851" t="s">
        <v>26</v>
      </c>
    </row>
    <row r="852" spans="1:4" x14ac:dyDescent="0.3">
      <c r="A852" s="1">
        <v>35246</v>
      </c>
      <c r="B852" t="s">
        <v>17</v>
      </c>
      <c r="C852">
        <v>2263</v>
      </c>
      <c r="D852" t="s">
        <v>27</v>
      </c>
    </row>
    <row r="853" spans="1:4" x14ac:dyDescent="0.3">
      <c r="A853" s="1">
        <v>35338</v>
      </c>
      <c r="B853" t="s">
        <v>17</v>
      </c>
      <c r="C853">
        <v>766</v>
      </c>
      <c r="D853" t="s">
        <v>18</v>
      </c>
    </row>
    <row r="854" spans="1:4" x14ac:dyDescent="0.3">
      <c r="A854" s="1">
        <v>35338</v>
      </c>
      <c r="B854" t="s">
        <v>17</v>
      </c>
      <c r="C854">
        <v>640</v>
      </c>
      <c r="D854" t="s">
        <v>19</v>
      </c>
    </row>
    <row r="855" spans="1:4" x14ac:dyDescent="0.3">
      <c r="A855" s="1">
        <v>35338</v>
      </c>
      <c r="B855" t="s">
        <v>17</v>
      </c>
      <c r="C855">
        <v>400</v>
      </c>
      <c r="D855" t="s">
        <v>20</v>
      </c>
    </row>
    <row r="856" spans="1:4" x14ac:dyDescent="0.3">
      <c r="A856" s="1">
        <v>35338</v>
      </c>
      <c r="B856" t="s">
        <v>17</v>
      </c>
      <c r="C856">
        <v>2003</v>
      </c>
      <c r="D856" t="s">
        <v>21</v>
      </c>
    </row>
    <row r="857" spans="1:4" x14ac:dyDescent="0.3">
      <c r="A857" s="1">
        <v>35338</v>
      </c>
      <c r="B857" t="s">
        <v>17</v>
      </c>
      <c r="C857">
        <v>905</v>
      </c>
      <c r="D857" t="s">
        <v>22</v>
      </c>
    </row>
    <row r="858" spans="1:4" x14ac:dyDescent="0.3">
      <c r="A858" s="1">
        <v>35338</v>
      </c>
      <c r="B858" t="s">
        <v>17</v>
      </c>
      <c r="C858">
        <v>3712</v>
      </c>
      <c r="D858" t="s">
        <v>23</v>
      </c>
    </row>
    <row r="859" spans="1:4" x14ac:dyDescent="0.3">
      <c r="A859" s="1">
        <v>35338</v>
      </c>
      <c r="B859" t="s">
        <v>17</v>
      </c>
      <c r="C859">
        <v>1122</v>
      </c>
      <c r="D859" t="s">
        <v>24</v>
      </c>
    </row>
    <row r="860" spans="1:4" x14ac:dyDescent="0.3">
      <c r="A860" s="1">
        <v>35338</v>
      </c>
      <c r="B860" t="s">
        <v>17</v>
      </c>
      <c r="C860">
        <v>1506</v>
      </c>
      <c r="D860" t="s">
        <v>25</v>
      </c>
    </row>
    <row r="861" spans="1:4" x14ac:dyDescent="0.3">
      <c r="A861" s="1">
        <v>35338</v>
      </c>
      <c r="B861" t="s">
        <v>17</v>
      </c>
      <c r="C861">
        <v>842</v>
      </c>
      <c r="D861" t="s">
        <v>26</v>
      </c>
    </row>
    <row r="862" spans="1:4" x14ac:dyDescent="0.3">
      <c r="A862" s="1">
        <v>35338</v>
      </c>
      <c r="B862" t="s">
        <v>17</v>
      </c>
      <c r="C862">
        <v>2289</v>
      </c>
      <c r="D862" t="s">
        <v>27</v>
      </c>
    </row>
    <row r="863" spans="1:4" x14ac:dyDescent="0.3">
      <c r="A863" s="1">
        <v>35430</v>
      </c>
      <c r="B863" t="s">
        <v>17</v>
      </c>
      <c r="C863">
        <v>762</v>
      </c>
      <c r="D863" t="s">
        <v>18</v>
      </c>
    </row>
    <row r="864" spans="1:4" x14ac:dyDescent="0.3">
      <c r="A864" s="1">
        <v>35430</v>
      </c>
      <c r="B864" t="s">
        <v>17</v>
      </c>
      <c r="C864">
        <v>652</v>
      </c>
      <c r="D864" t="s">
        <v>19</v>
      </c>
    </row>
    <row r="865" spans="1:4" x14ac:dyDescent="0.3">
      <c r="A865" s="1">
        <v>35430</v>
      </c>
      <c r="B865" t="s">
        <v>17</v>
      </c>
      <c r="C865">
        <v>398</v>
      </c>
      <c r="D865" t="s">
        <v>20</v>
      </c>
    </row>
    <row r="866" spans="1:4" x14ac:dyDescent="0.3">
      <c r="A866" s="1">
        <v>35430</v>
      </c>
      <c r="B866" t="s">
        <v>17</v>
      </c>
      <c r="C866">
        <v>2005</v>
      </c>
      <c r="D866" t="s">
        <v>21</v>
      </c>
    </row>
    <row r="867" spans="1:4" x14ac:dyDescent="0.3">
      <c r="A867" s="1">
        <v>35430</v>
      </c>
      <c r="B867" t="s">
        <v>17</v>
      </c>
      <c r="C867">
        <v>899</v>
      </c>
      <c r="D867" t="s">
        <v>22</v>
      </c>
    </row>
    <row r="868" spans="1:4" x14ac:dyDescent="0.3">
      <c r="A868" s="1">
        <v>35430</v>
      </c>
      <c r="B868" t="s">
        <v>17</v>
      </c>
      <c r="C868">
        <v>3773</v>
      </c>
      <c r="D868" t="s">
        <v>23</v>
      </c>
    </row>
    <row r="869" spans="1:4" x14ac:dyDescent="0.3">
      <c r="A869" s="1">
        <v>35430</v>
      </c>
      <c r="B869" t="s">
        <v>17</v>
      </c>
      <c r="C869">
        <v>1166</v>
      </c>
      <c r="D869" t="s">
        <v>24</v>
      </c>
    </row>
    <row r="870" spans="1:4" x14ac:dyDescent="0.3">
      <c r="A870" s="1">
        <v>35430</v>
      </c>
      <c r="B870" t="s">
        <v>17</v>
      </c>
      <c r="C870">
        <v>1520</v>
      </c>
      <c r="D870" t="s">
        <v>25</v>
      </c>
    </row>
    <row r="871" spans="1:4" x14ac:dyDescent="0.3">
      <c r="A871" s="1">
        <v>35430</v>
      </c>
      <c r="B871" t="s">
        <v>17</v>
      </c>
      <c r="C871">
        <v>813</v>
      </c>
      <c r="D871" t="s">
        <v>26</v>
      </c>
    </row>
    <row r="872" spans="1:4" x14ac:dyDescent="0.3">
      <c r="A872" s="1">
        <v>35430</v>
      </c>
      <c r="B872" t="s">
        <v>17</v>
      </c>
      <c r="C872">
        <v>2253</v>
      </c>
      <c r="D872" t="s">
        <v>27</v>
      </c>
    </row>
    <row r="873" spans="1:4" x14ac:dyDescent="0.3">
      <c r="A873" s="1">
        <v>35520</v>
      </c>
      <c r="B873" t="s">
        <v>17</v>
      </c>
      <c r="C873">
        <v>750</v>
      </c>
      <c r="D873" t="s">
        <v>18</v>
      </c>
    </row>
    <row r="874" spans="1:4" x14ac:dyDescent="0.3">
      <c r="A874" s="1">
        <v>35520</v>
      </c>
      <c r="B874" t="s">
        <v>17</v>
      </c>
      <c r="C874">
        <v>666</v>
      </c>
      <c r="D874" t="s">
        <v>19</v>
      </c>
    </row>
    <row r="875" spans="1:4" x14ac:dyDescent="0.3">
      <c r="A875" s="1">
        <v>35520</v>
      </c>
      <c r="B875" t="s">
        <v>17</v>
      </c>
      <c r="C875">
        <v>423</v>
      </c>
      <c r="D875" t="s">
        <v>20</v>
      </c>
    </row>
    <row r="876" spans="1:4" x14ac:dyDescent="0.3">
      <c r="A876" s="1">
        <v>35520</v>
      </c>
      <c r="B876" t="s">
        <v>17</v>
      </c>
      <c r="C876">
        <v>2026</v>
      </c>
      <c r="D876" t="s">
        <v>21</v>
      </c>
    </row>
    <row r="877" spans="1:4" x14ac:dyDescent="0.3">
      <c r="A877" s="1">
        <v>35520</v>
      </c>
      <c r="B877" t="s">
        <v>17</v>
      </c>
      <c r="C877">
        <v>867</v>
      </c>
      <c r="D877" t="s">
        <v>22</v>
      </c>
    </row>
    <row r="878" spans="1:4" x14ac:dyDescent="0.3">
      <c r="A878" s="1">
        <v>35520</v>
      </c>
      <c r="B878" t="s">
        <v>17</v>
      </c>
      <c r="C878">
        <v>3819</v>
      </c>
      <c r="D878" t="s">
        <v>23</v>
      </c>
    </row>
    <row r="879" spans="1:4" x14ac:dyDescent="0.3">
      <c r="A879" s="1">
        <v>35520</v>
      </c>
      <c r="B879" t="s">
        <v>17</v>
      </c>
      <c r="C879">
        <v>1175</v>
      </c>
      <c r="D879" t="s">
        <v>24</v>
      </c>
    </row>
    <row r="880" spans="1:4" x14ac:dyDescent="0.3">
      <c r="A880" s="1">
        <v>35520</v>
      </c>
      <c r="B880" t="s">
        <v>17</v>
      </c>
      <c r="C880">
        <v>1566</v>
      </c>
      <c r="D880" t="s">
        <v>25</v>
      </c>
    </row>
    <row r="881" spans="1:4" x14ac:dyDescent="0.3">
      <c r="A881" s="1">
        <v>35520</v>
      </c>
      <c r="B881" t="s">
        <v>17</v>
      </c>
      <c r="C881">
        <v>898</v>
      </c>
      <c r="D881" t="s">
        <v>26</v>
      </c>
    </row>
    <row r="882" spans="1:4" x14ac:dyDescent="0.3">
      <c r="A882" s="1">
        <v>35520</v>
      </c>
      <c r="B882" t="s">
        <v>17</v>
      </c>
      <c r="C882">
        <v>2178</v>
      </c>
      <c r="D882" t="s">
        <v>27</v>
      </c>
    </row>
    <row r="883" spans="1:4" x14ac:dyDescent="0.3">
      <c r="A883" s="1">
        <v>35611</v>
      </c>
      <c r="B883" t="s">
        <v>17</v>
      </c>
      <c r="C883">
        <v>754</v>
      </c>
      <c r="D883" t="s">
        <v>18</v>
      </c>
    </row>
    <row r="884" spans="1:4" x14ac:dyDescent="0.3">
      <c r="A884" s="1">
        <v>35611</v>
      </c>
      <c r="B884" t="s">
        <v>17</v>
      </c>
      <c r="C884">
        <v>696</v>
      </c>
      <c r="D884" t="s">
        <v>19</v>
      </c>
    </row>
    <row r="885" spans="1:4" x14ac:dyDescent="0.3">
      <c r="A885" s="1">
        <v>35611</v>
      </c>
      <c r="B885" t="s">
        <v>17</v>
      </c>
      <c r="C885">
        <v>454</v>
      </c>
      <c r="D885" t="s">
        <v>20</v>
      </c>
    </row>
    <row r="886" spans="1:4" x14ac:dyDescent="0.3">
      <c r="A886" s="1">
        <v>35611</v>
      </c>
      <c r="B886" t="s">
        <v>17</v>
      </c>
      <c r="C886">
        <v>2059</v>
      </c>
      <c r="D886" t="s">
        <v>21</v>
      </c>
    </row>
    <row r="887" spans="1:4" x14ac:dyDescent="0.3">
      <c r="A887" s="1">
        <v>35611</v>
      </c>
      <c r="B887" t="s">
        <v>17</v>
      </c>
      <c r="C887">
        <v>889</v>
      </c>
      <c r="D887" t="s">
        <v>22</v>
      </c>
    </row>
    <row r="888" spans="1:4" x14ac:dyDescent="0.3">
      <c r="A888" s="1">
        <v>35611</v>
      </c>
      <c r="B888" t="s">
        <v>17</v>
      </c>
      <c r="C888">
        <v>3880</v>
      </c>
      <c r="D888" t="s">
        <v>23</v>
      </c>
    </row>
    <row r="889" spans="1:4" x14ac:dyDescent="0.3">
      <c r="A889" s="1">
        <v>35611</v>
      </c>
      <c r="B889" t="s">
        <v>17</v>
      </c>
      <c r="C889">
        <v>1210</v>
      </c>
      <c r="D889" t="s">
        <v>24</v>
      </c>
    </row>
    <row r="890" spans="1:4" x14ac:dyDescent="0.3">
      <c r="A890" s="1">
        <v>35611</v>
      </c>
      <c r="B890" t="s">
        <v>17</v>
      </c>
      <c r="C890">
        <v>1582</v>
      </c>
      <c r="D890" t="s">
        <v>25</v>
      </c>
    </row>
    <row r="891" spans="1:4" x14ac:dyDescent="0.3">
      <c r="A891" s="1">
        <v>35611</v>
      </c>
      <c r="B891" t="s">
        <v>17</v>
      </c>
      <c r="C891">
        <v>903</v>
      </c>
      <c r="D891" t="s">
        <v>26</v>
      </c>
    </row>
    <row r="892" spans="1:4" x14ac:dyDescent="0.3">
      <c r="A892" s="1">
        <v>35611</v>
      </c>
      <c r="B892" t="s">
        <v>17</v>
      </c>
      <c r="C892">
        <v>2118</v>
      </c>
      <c r="D892" t="s">
        <v>27</v>
      </c>
    </row>
    <row r="893" spans="1:4" x14ac:dyDescent="0.3">
      <c r="A893" s="1">
        <v>35703</v>
      </c>
      <c r="B893" t="s">
        <v>17</v>
      </c>
      <c r="C893">
        <v>765</v>
      </c>
      <c r="D893" t="s">
        <v>18</v>
      </c>
    </row>
    <row r="894" spans="1:4" x14ac:dyDescent="0.3">
      <c r="A894" s="1">
        <v>35703</v>
      </c>
      <c r="B894" t="s">
        <v>17</v>
      </c>
      <c r="C894">
        <v>674</v>
      </c>
      <c r="D894" t="s">
        <v>19</v>
      </c>
    </row>
    <row r="895" spans="1:4" x14ac:dyDescent="0.3">
      <c r="A895" s="1">
        <v>35703</v>
      </c>
      <c r="B895" t="s">
        <v>17</v>
      </c>
      <c r="C895">
        <v>470</v>
      </c>
      <c r="D895" t="s">
        <v>20</v>
      </c>
    </row>
    <row r="896" spans="1:4" x14ac:dyDescent="0.3">
      <c r="A896" s="1">
        <v>35703</v>
      </c>
      <c r="B896" t="s">
        <v>17</v>
      </c>
      <c r="C896">
        <v>2067</v>
      </c>
      <c r="D896" t="s">
        <v>21</v>
      </c>
    </row>
    <row r="897" spans="1:4" x14ac:dyDescent="0.3">
      <c r="A897" s="1">
        <v>35703</v>
      </c>
      <c r="B897" t="s">
        <v>17</v>
      </c>
      <c r="C897">
        <v>893</v>
      </c>
      <c r="D897" t="s">
        <v>22</v>
      </c>
    </row>
    <row r="898" spans="1:4" x14ac:dyDescent="0.3">
      <c r="A898" s="1">
        <v>35703</v>
      </c>
      <c r="B898" t="s">
        <v>17</v>
      </c>
      <c r="C898">
        <v>3949</v>
      </c>
      <c r="D898" t="s">
        <v>23</v>
      </c>
    </row>
    <row r="899" spans="1:4" x14ac:dyDescent="0.3">
      <c r="A899" s="1">
        <v>35703</v>
      </c>
      <c r="B899" t="s">
        <v>17</v>
      </c>
      <c r="C899">
        <v>1241</v>
      </c>
      <c r="D899" t="s">
        <v>24</v>
      </c>
    </row>
    <row r="900" spans="1:4" x14ac:dyDescent="0.3">
      <c r="A900" s="1">
        <v>35703</v>
      </c>
      <c r="B900" t="s">
        <v>17</v>
      </c>
      <c r="C900">
        <v>1615</v>
      </c>
      <c r="D900" t="s">
        <v>25</v>
      </c>
    </row>
    <row r="901" spans="1:4" x14ac:dyDescent="0.3">
      <c r="A901" s="1">
        <v>35703</v>
      </c>
      <c r="B901" t="s">
        <v>17</v>
      </c>
      <c r="C901">
        <v>889</v>
      </c>
      <c r="D901" t="s">
        <v>26</v>
      </c>
    </row>
    <row r="902" spans="1:4" x14ac:dyDescent="0.3">
      <c r="A902" s="1">
        <v>35703</v>
      </c>
      <c r="B902" t="s">
        <v>17</v>
      </c>
      <c r="C902">
        <v>2062</v>
      </c>
      <c r="D902" t="s">
        <v>27</v>
      </c>
    </row>
    <row r="903" spans="1:4" x14ac:dyDescent="0.3">
      <c r="A903" s="1">
        <v>35795</v>
      </c>
      <c r="B903" t="s">
        <v>17</v>
      </c>
      <c r="C903">
        <v>794</v>
      </c>
      <c r="D903" t="s">
        <v>18</v>
      </c>
    </row>
    <row r="904" spans="1:4" x14ac:dyDescent="0.3">
      <c r="A904" s="1">
        <v>35795</v>
      </c>
      <c r="B904" t="s">
        <v>17</v>
      </c>
      <c r="C904">
        <v>690</v>
      </c>
      <c r="D904" t="s">
        <v>19</v>
      </c>
    </row>
    <row r="905" spans="1:4" x14ac:dyDescent="0.3">
      <c r="A905" s="1">
        <v>35795</v>
      </c>
      <c r="B905" t="s">
        <v>17</v>
      </c>
      <c r="C905">
        <v>475</v>
      </c>
      <c r="D905" t="s">
        <v>20</v>
      </c>
    </row>
    <row r="906" spans="1:4" x14ac:dyDescent="0.3">
      <c r="A906" s="1">
        <v>35795</v>
      </c>
      <c r="B906" t="s">
        <v>17</v>
      </c>
      <c r="C906">
        <v>2065</v>
      </c>
      <c r="D906" t="s">
        <v>21</v>
      </c>
    </row>
    <row r="907" spans="1:4" x14ac:dyDescent="0.3">
      <c r="A907" s="1">
        <v>35795</v>
      </c>
      <c r="B907" t="s">
        <v>17</v>
      </c>
      <c r="C907">
        <v>881</v>
      </c>
      <c r="D907" t="s">
        <v>22</v>
      </c>
    </row>
    <row r="908" spans="1:4" x14ac:dyDescent="0.3">
      <c r="A908" s="1">
        <v>35795</v>
      </c>
      <c r="B908" t="s">
        <v>17</v>
      </c>
      <c r="C908">
        <v>4025</v>
      </c>
      <c r="D908" t="s">
        <v>23</v>
      </c>
    </row>
    <row r="909" spans="1:4" x14ac:dyDescent="0.3">
      <c r="A909" s="1">
        <v>35795</v>
      </c>
      <c r="B909" t="s">
        <v>17</v>
      </c>
      <c r="C909">
        <v>1235</v>
      </c>
      <c r="D909" t="s">
        <v>24</v>
      </c>
    </row>
    <row r="910" spans="1:4" x14ac:dyDescent="0.3">
      <c r="A910" s="1">
        <v>35795</v>
      </c>
      <c r="B910" t="s">
        <v>17</v>
      </c>
      <c r="C910">
        <v>1634</v>
      </c>
      <c r="D910" t="s">
        <v>25</v>
      </c>
    </row>
    <row r="911" spans="1:4" x14ac:dyDescent="0.3">
      <c r="A911" s="1">
        <v>35795</v>
      </c>
      <c r="B911" t="s">
        <v>17</v>
      </c>
      <c r="C911">
        <v>921</v>
      </c>
      <c r="D911" t="s">
        <v>26</v>
      </c>
    </row>
    <row r="912" spans="1:4" x14ac:dyDescent="0.3">
      <c r="A912" s="1">
        <v>35795</v>
      </c>
      <c r="B912" t="s">
        <v>17</v>
      </c>
      <c r="C912">
        <v>2053</v>
      </c>
      <c r="D912" t="s">
        <v>27</v>
      </c>
    </row>
    <row r="913" spans="1:4" x14ac:dyDescent="0.3">
      <c r="A913" s="1">
        <v>35885</v>
      </c>
      <c r="B913" t="s">
        <v>17</v>
      </c>
      <c r="C913">
        <v>820</v>
      </c>
      <c r="D913" t="s">
        <v>18</v>
      </c>
    </row>
    <row r="914" spans="1:4" x14ac:dyDescent="0.3">
      <c r="A914" s="1">
        <v>35885</v>
      </c>
      <c r="B914" t="s">
        <v>17</v>
      </c>
      <c r="C914">
        <v>692</v>
      </c>
      <c r="D914" t="s">
        <v>19</v>
      </c>
    </row>
    <row r="915" spans="1:4" x14ac:dyDescent="0.3">
      <c r="A915" s="1">
        <v>35885</v>
      </c>
      <c r="B915" t="s">
        <v>17</v>
      </c>
      <c r="C915">
        <v>429</v>
      </c>
      <c r="D915" t="s">
        <v>20</v>
      </c>
    </row>
    <row r="916" spans="1:4" x14ac:dyDescent="0.3">
      <c r="A916" s="1">
        <v>35885</v>
      </c>
      <c r="B916" t="s">
        <v>17</v>
      </c>
      <c r="C916">
        <v>2105</v>
      </c>
      <c r="D916" t="s">
        <v>21</v>
      </c>
    </row>
    <row r="917" spans="1:4" x14ac:dyDescent="0.3">
      <c r="A917" s="1">
        <v>35885</v>
      </c>
      <c r="B917" t="s">
        <v>17</v>
      </c>
      <c r="C917">
        <v>886</v>
      </c>
      <c r="D917" t="s">
        <v>22</v>
      </c>
    </row>
    <row r="918" spans="1:4" x14ac:dyDescent="0.3">
      <c r="A918" s="1">
        <v>35885</v>
      </c>
      <c r="B918" t="s">
        <v>17</v>
      </c>
      <c r="C918">
        <v>4109</v>
      </c>
      <c r="D918" t="s">
        <v>23</v>
      </c>
    </row>
    <row r="919" spans="1:4" x14ac:dyDescent="0.3">
      <c r="A919" s="1">
        <v>35885</v>
      </c>
      <c r="B919" t="s">
        <v>17</v>
      </c>
      <c r="C919">
        <v>1238</v>
      </c>
      <c r="D919" t="s">
        <v>24</v>
      </c>
    </row>
    <row r="920" spans="1:4" x14ac:dyDescent="0.3">
      <c r="A920" s="1">
        <v>35885</v>
      </c>
      <c r="B920" t="s">
        <v>17</v>
      </c>
      <c r="C920">
        <v>1654</v>
      </c>
      <c r="D920" t="s">
        <v>25</v>
      </c>
    </row>
    <row r="921" spans="1:4" x14ac:dyDescent="0.3">
      <c r="A921" s="1">
        <v>35885</v>
      </c>
      <c r="B921" t="s">
        <v>17</v>
      </c>
      <c r="C921">
        <v>1020</v>
      </c>
      <c r="D921" t="s">
        <v>26</v>
      </c>
    </row>
    <row r="922" spans="1:4" x14ac:dyDescent="0.3">
      <c r="A922" s="1">
        <v>35885</v>
      </c>
      <c r="B922" t="s">
        <v>17</v>
      </c>
      <c r="C922">
        <v>2072</v>
      </c>
      <c r="D922" t="s">
        <v>27</v>
      </c>
    </row>
    <row r="923" spans="1:4" x14ac:dyDescent="0.3">
      <c r="A923" s="1">
        <v>35976</v>
      </c>
      <c r="B923" t="s">
        <v>17</v>
      </c>
      <c r="C923">
        <v>822</v>
      </c>
      <c r="D923" t="s">
        <v>18</v>
      </c>
    </row>
    <row r="924" spans="1:4" x14ac:dyDescent="0.3">
      <c r="A924" s="1">
        <v>35976</v>
      </c>
      <c r="B924" t="s">
        <v>17</v>
      </c>
      <c r="C924">
        <v>687</v>
      </c>
      <c r="D924" t="s">
        <v>19</v>
      </c>
    </row>
    <row r="925" spans="1:4" x14ac:dyDescent="0.3">
      <c r="A925" s="1">
        <v>35976</v>
      </c>
      <c r="B925" t="s">
        <v>17</v>
      </c>
      <c r="C925">
        <v>382</v>
      </c>
      <c r="D925" t="s">
        <v>20</v>
      </c>
    </row>
    <row r="926" spans="1:4" x14ac:dyDescent="0.3">
      <c r="A926" s="1">
        <v>35976</v>
      </c>
      <c r="B926" t="s">
        <v>17</v>
      </c>
      <c r="C926">
        <v>2114</v>
      </c>
      <c r="D926" t="s">
        <v>21</v>
      </c>
    </row>
    <row r="927" spans="1:4" x14ac:dyDescent="0.3">
      <c r="A927" s="1">
        <v>35976</v>
      </c>
      <c r="B927" t="s">
        <v>17</v>
      </c>
      <c r="C927">
        <v>905</v>
      </c>
      <c r="D927" t="s">
        <v>22</v>
      </c>
    </row>
    <row r="928" spans="1:4" x14ac:dyDescent="0.3">
      <c r="A928" s="1">
        <v>35976</v>
      </c>
      <c r="B928" t="s">
        <v>17</v>
      </c>
      <c r="C928">
        <v>4177</v>
      </c>
      <c r="D928" t="s">
        <v>23</v>
      </c>
    </row>
    <row r="929" spans="1:4" x14ac:dyDescent="0.3">
      <c r="A929" s="1">
        <v>35976</v>
      </c>
      <c r="B929" t="s">
        <v>17</v>
      </c>
      <c r="C929">
        <v>1242</v>
      </c>
      <c r="D929" t="s">
        <v>24</v>
      </c>
    </row>
    <row r="930" spans="1:4" x14ac:dyDescent="0.3">
      <c r="A930" s="1">
        <v>35976</v>
      </c>
      <c r="B930" t="s">
        <v>17</v>
      </c>
      <c r="C930">
        <v>1697</v>
      </c>
      <c r="D930" t="s">
        <v>25</v>
      </c>
    </row>
    <row r="931" spans="1:4" x14ac:dyDescent="0.3">
      <c r="A931" s="1">
        <v>35976</v>
      </c>
      <c r="B931" t="s">
        <v>17</v>
      </c>
      <c r="C931">
        <v>970</v>
      </c>
      <c r="D931" t="s">
        <v>26</v>
      </c>
    </row>
    <row r="932" spans="1:4" x14ac:dyDescent="0.3">
      <c r="A932" s="1">
        <v>35976</v>
      </c>
      <c r="B932" t="s">
        <v>17</v>
      </c>
      <c r="C932">
        <v>2094</v>
      </c>
      <c r="D932" t="s">
        <v>27</v>
      </c>
    </row>
    <row r="933" spans="1:4" x14ac:dyDescent="0.3">
      <c r="A933" s="1">
        <v>36068</v>
      </c>
      <c r="B933" t="s">
        <v>17</v>
      </c>
      <c r="C933">
        <v>837</v>
      </c>
      <c r="D933" t="s">
        <v>18</v>
      </c>
    </row>
    <row r="934" spans="1:4" x14ac:dyDescent="0.3">
      <c r="A934" s="1">
        <v>36068</v>
      </c>
      <c r="B934" t="s">
        <v>17</v>
      </c>
      <c r="C934">
        <v>685</v>
      </c>
      <c r="D934" t="s">
        <v>19</v>
      </c>
    </row>
    <row r="935" spans="1:4" x14ac:dyDescent="0.3">
      <c r="A935" s="1">
        <v>36068</v>
      </c>
      <c r="B935" t="s">
        <v>17</v>
      </c>
      <c r="C935">
        <v>485</v>
      </c>
      <c r="D935" t="s">
        <v>20</v>
      </c>
    </row>
    <row r="936" spans="1:4" x14ac:dyDescent="0.3">
      <c r="A936" s="1">
        <v>36068</v>
      </c>
      <c r="B936" t="s">
        <v>17</v>
      </c>
      <c r="C936">
        <v>2155</v>
      </c>
      <c r="D936" t="s">
        <v>21</v>
      </c>
    </row>
    <row r="937" spans="1:4" x14ac:dyDescent="0.3">
      <c r="A937" s="1">
        <v>36068</v>
      </c>
      <c r="B937" t="s">
        <v>17</v>
      </c>
      <c r="C937">
        <v>918</v>
      </c>
      <c r="D937" t="s">
        <v>22</v>
      </c>
    </row>
    <row r="938" spans="1:4" x14ac:dyDescent="0.3">
      <c r="A938" s="1">
        <v>36068</v>
      </c>
      <c r="B938" t="s">
        <v>17</v>
      </c>
      <c r="C938">
        <v>4178</v>
      </c>
      <c r="D938" t="s">
        <v>23</v>
      </c>
    </row>
    <row r="939" spans="1:4" x14ac:dyDescent="0.3">
      <c r="A939" s="1">
        <v>36068</v>
      </c>
      <c r="B939" t="s">
        <v>17</v>
      </c>
      <c r="C939">
        <v>1264</v>
      </c>
      <c r="D939" t="s">
        <v>24</v>
      </c>
    </row>
    <row r="940" spans="1:4" x14ac:dyDescent="0.3">
      <c r="A940" s="1">
        <v>36068</v>
      </c>
      <c r="B940" t="s">
        <v>17</v>
      </c>
      <c r="C940">
        <v>1673</v>
      </c>
      <c r="D940" t="s">
        <v>25</v>
      </c>
    </row>
    <row r="941" spans="1:4" x14ac:dyDescent="0.3">
      <c r="A941" s="1">
        <v>36068</v>
      </c>
      <c r="B941" t="s">
        <v>17</v>
      </c>
      <c r="C941">
        <v>943</v>
      </c>
      <c r="D941" t="s">
        <v>26</v>
      </c>
    </row>
    <row r="942" spans="1:4" x14ac:dyDescent="0.3">
      <c r="A942" s="1">
        <v>36068</v>
      </c>
      <c r="B942" t="s">
        <v>17</v>
      </c>
      <c r="C942">
        <v>2078</v>
      </c>
      <c r="D942" t="s">
        <v>27</v>
      </c>
    </row>
    <row r="943" spans="1:4" x14ac:dyDescent="0.3">
      <c r="A943" s="1">
        <v>36160</v>
      </c>
      <c r="B943" t="s">
        <v>17</v>
      </c>
      <c r="C943">
        <v>852</v>
      </c>
      <c r="D943" t="s">
        <v>18</v>
      </c>
    </row>
    <row r="944" spans="1:4" x14ac:dyDescent="0.3">
      <c r="A944" s="1">
        <v>36160</v>
      </c>
      <c r="B944" t="s">
        <v>17</v>
      </c>
      <c r="C944">
        <v>695</v>
      </c>
      <c r="D944" t="s">
        <v>19</v>
      </c>
    </row>
    <row r="945" spans="1:4" x14ac:dyDescent="0.3">
      <c r="A945" s="1">
        <v>36160</v>
      </c>
      <c r="B945" t="s">
        <v>17</v>
      </c>
      <c r="C945">
        <v>472</v>
      </c>
      <c r="D945" t="s">
        <v>20</v>
      </c>
    </row>
    <row r="946" spans="1:4" x14ac:dyDescent="0.3">
      <c r="A946" s="1">
        <v>36160</v>
      </c>
      <c r="B946" t="s">
        <v>17</v>
      </c>
      <c r="C946">
        <v>2172</v>
      </c>
      <c r="D946" t="s">
        <v>21</v>
      </c>
    </row>
    <row r="947" spans="1:4" x14ac:dyDescent="0.3">
      <c r="A947" s="1">
        <v>36160</v>
      </c>
      <c r="B947" t="s">
        <v>17</v>
      </c>
      <c r="C947">
        <v>946</v>
      </c>
      <c r="D947" t="s">
        <v>22</v>
      </c>
    </row>
    <row r="948" spans="1:4" x14ac:dyDescent="0.3">
      <c r="A948" s="1">
        <v>36160</v>
      </c>
      <c r="B948" t="s">
        <v>17</v>
      </c>
      <c r="C948">
        <v>4167</v>
      </c>
      <c r="D948" t="s">
        <v>23</v>
      </c>
    </row>
    <row r="949" spans="1:4" x14ac:dyDescent="0.3">
      <c r="A949" s="1">
        <v>36160</v>
      </c>
      <c r="B949" t="s">
        <v>17</v>
      </c>
      <c r="C949">
        <v>1285</v>
      </c>
      <c r="D949" t="s">
        <v>24</v>
      </c>
    </row>
    <row r="950" spans="1:4" x14ac:dyDescent="0.3">
      <c r="A950" s="1">
        <v>36160</v>
      </c>
      <c r="B950" t="s">
        <v>17</v>
      </c>
      <c r="C950">
        <v>1716</v>
      </c>
      <c r="D950" t="s">
        <v>25</v>
      </c>
    </row>
    <row r="951" spans="1:4" x14ac:dyDescent="0.3">
      <c r="A951" s="1">
        <v>36160</v>
      </c>
      <c r="B951" t="s">
        <v>17</v>
      </c>
      <c r="C951">
        <v>1001</v>
      </c>
      <c r="D951" t="s">
        <v>26</v>
      </c>
    </row>
    <row r="952" spans="1:4" x14ac:dyDescent="0.3">
      <c r="A952" s="1">
        <v>36160</v>
      </c>
      <c r="B952" t="s">
        <v>17</v>
      </c>
      <c r="C952">
        <v>2156</v>
      </c>
      <c r="D952" t="s">
        <v>27</v>
      </c>
    </row>
    <row r="953" spans="1:4" x14ac:dyDescent="0.3">
      <c r="A953" s="1">
        <v>36250</v>
      </c>
      <c r="B953" t="s">
        <v>17</v>
      </c>
      <c r="C953">
        <v>861</v>
      </c>
      <c r="D953" t="s">
        <v>18</v>
      </c>
    </row>
    <row r="954" spans="1:4" x14ac:dyDescent="0.3">
      <c r="A954" s="1">
        <v>36250</v>
      </c>
      <c r="B954" t="s">
        <v>17</v>
      </c>
      <c r="C954">
        <v>701</v>
      </c>
      <c r="D954" t="s">
        <v>19</v>
      </c>
    </row>
    <row r="955" spans="1:4" x14ac:dyDescent="0.3">
      <c r="A955" s="1">
        <v>36250</v>
      </c>
      <c r="B955" t="s">
        <v>17</v>
      </c>
      <c r="C955">
        <v>491</v>
      </c>
      <c r="D955" t="s">
        <v>20</v>
      </c>
    </row>
    <row r="956" spans="1:4" x14ac:dyDescent="0.3">
      <c r="A956" s="1">
        <v>36250</v>
      </c>
      <c r="B956" t="s">
        <v>17</v>
      </c>
      <c r="C956">
        <v>2209</v>
      </c>
      <c r="D956" t="s">
        <v>21</v>
      </c>
    </row>
    <row r="957" spans="1:4" x14ac:dyDescent="0.3">
      <c r="A957" s="1">
        <v>36250</v>
      </c>
      <c r="B957" t="s">
        <v>17</v>
      </c>
      <c r="C957">
        <v>970</v>
      </c>
      <c r="D957" t="s">
        <v>22</v>
      </c>
    </row>
    <row r="958" spans="1:4" x14ac:dyDescent="0.3">
      <c r="A958" s="1">
        <v>36250</v>
      </c>
      <c r="B958" t="s">
        <v>17</v>
      </c>
      <c r="C958">
        <v>4153</v>
      </c>
      <c r="D958" t="s">
        <v>23</v>
      </c>
    </row>
    <row r="959" spans="1:4" x14ac:dyDescent="0.3">
      <c r="A959" s="1">
        <v>36250</v>
      </c>
      <c r="B959" t="s">
        <v>17</v>
      </c>
      <c r="C959">
        <v>1312</v>
      </c>
      <c r="D959" t="s">
        <v>24</v>
      </c>
    </row>
    <row r="960" spans="1:4" x14ac:dyDescent="0.3">
      <c r="A960" s="1">
        <v>36250</v>
      </c>
      <c r="B960" t="s">
        <v>17</v>
      </c>
      <c r="C960">
        <v>1732</v>
      </c>
      <c r="D960" t="s">
        <v>25</v>
      </c>
    </row>
    <row r="961" spans="1:4" x14ac:dyDescent="0.3">
      <c r="A961" s="1">
        <v>36250</v>
      </c>
      <c r="B961" t="s">
        <v>17</v>
      </c>
      <c r="C961">
        <v>978</v>
      </c>
      <c r="D961" t="s">
        <v>26</v>
      </c>
    </row>
    <row r="962" spans="1:4" x14ac:dyDescent="0.3">
      <c r="A962" s="1">
        <v>36250</v>
      </c>
      <c r="B962" t="s">
        <v>17</v>
      </c>
      <c r="C962">
        <v>2161</v>
      </c>
      <c r="D962" t="s">
        <v>27</v>
      </c>
    </row>
    <row r="963" spans="1:4" x14ac:dyDescent="0.3">
      <c r="A963" s="1">
        <v>36341</v>
      </c>
      <c r="B963" t="s">
        <v>17</v>
      </c>
      <c r="C963">
        <v>866</v>
      </c>
      <c r="D963" t="s">
        <v>18</v>
      </c>
    </row>
    <row r="964" spans="1:4" x14ac:dyDescent="0.3">
      <c r="A964" s="1">
        <v>36341</v>
      </c>
      <c r="B964" t="s">
        <v>17</v>
      </c>
      <c r="C964">
        <v>720</v>
      </c>
      <c r="D964" t="s">
        <v>19</v>
      </c>
    </row>
    <row r="965" spans="1:4" x14ac:dyDescent="0.3">
      <c r="A965" s="1">
        <v>36341</v>
      </c>
      <c r="B965" t="s">
        <v>17</v>
      </c>
      <c r="C965">
        <v>477</v>
      </c>
      <c r="D965" t="s">
        <v>20</v>
      </c>
    </row>
    <row r="966" spans="1:4" x14ac:dyDescent="0.3">
      <c r="A966" s="1">
        <v>36341</v>
      </c>
      <c r="B966" t="s">
        <v>17</v>
      </c>
      <c r="C966">
        <v>2221</v>
      </c>
      <c r="D966" t="s">
        <v>21</v>
      </c>
    </row>
    <row r="967" spans="1:4" x14ac:dyDescent="0.3">
      <c r="A967" s="1">
        <v>36341</v>
      </c>
      <c r="B967" t="s">
        <v>17</v>
      </c>
      <c r="C967">
        <v>972</v>
      </c>
      <c r="D967" t="s">
        <v>22</v>
      </c>
    </row>
    <row r="968" spans="1:4" x14ac:dyDescent="0.3">
      <c r="A968" s="1">
        <v>36341</v>
      </c>
      <c r="B968" t="s">
        <v>17</v>
      </c>
      <c r="C968">
        <v>4192</v>
      </c>
      <c r="D968" t="s">
        <v>23</v>
      </c>
    </row>
    <row r="969" spans="1:4" x14ac:dyDescent="0.3">
      <c r="A969" s="1">
        <v>36341</v>
      </c>
      <c r="B969" t="s">
        <v>17</v>
      </c>
      <c r="C969">
        <v>1344</v>
      </c>
      <c r="D969" t="s">
        <v>24</v>
      </c>
    </row>
    <row r="970" spans="1:4" x14ac:dyDescent="0.3">
      <c r="A970" s="1">
        <v>36341</v>
      </c>
      <c r="B970" t="s">
        <v>17</v>
      </c>
      <c r="C970">
        <v>1769</v>
      </c>
      <c r="D970" t="s">
        <v>25</v>
      </c>
    </row>
    <row r="971" spans="1:4" x14ac:dyDescent="0.3">
      <c r="A971" s="1">
        <v>36341</v>
      </c>
      <c r="B971" t="s">
        <v>17</v>
      </c>
      <c r="C971">
        <v>1013</v>
      </c>
      <c r="D971" t="s">
        <v>26</v>
      </c>
    </row>
    <row r="972" spans="1:4" x14ac:dyDescent="0.3">
      <c r="A972" s="1">
        <v>36341</v>
      </c>
      <c r="B972" t="s">
        <v>17</v>
      </c>
      <c r="C972">
        <v>2197</v>
      </c>
      <c r="D972" t="s">
        <v>27</v>
      </c>
    </row>
    <row r="973" spans="1:4" x14ac:dyDescent="0.3">
      <c r="A973" s="1">
        <v>36433</v>
      </c>
      <c r="B973" t="s">
        <v>17</v>
      </c>
      <c r="C973">
        <v>865</v>
      </c>
      <c r="D973" t="s">
        <v>18</v>
      </c>
    </row>
    <row r="974" spans="1:4" x14ac:dyDescent="0.3">
      <c r="A974" s="1">
        <v>36433</v>
      </c>
      <c r="B974" t="s">
        <v>17</v>
      </c>
      <c r="C974">
        <v>737</v>
      </c>
      <c r="D974" t="s">
        <v>19</v>
      </c>
    </row>
    <row r="975" spans="1:4" x14ac:dyDescent="0.3">
      <c r="A975" s="1">
        <v>36433</v>
      </c>
      <c r="B975" t="s">
        <v>17</v>
      </c>
      <c r="C975">
        <v>452</v>
      </c>
      <c r="D975" t="s">
        <v>20</v>
      </c>
    </row>
    <row r="976" spans="1:4" x14ac:dyDescent="0.3">
      <c r="A976" s="1">
        <v>36433</v>
      </c>
      <c r="B976" t="s">
        <v>17</v>
      </c>
      <c r="C976">
        <v>2248</v>
      </c>
      <c r="D976" t="s">
        <v>21</v>
      </c>
    </row>
    <row r="977" spans="1:4" x14ac:dyDescent="0.3">
      <c r="A977" s="1">
        <v>36433</v>
      </c>
      <c r="B977" t="s">
        <v>17</v>
      </c>
      <c r="C977">
        <v>989</v>
      </c>
      <c r="D977" t="s">
        <v>22</v>
      </c>
    </row>
    <row r="978" spans="1:4" x14ac:dyDescent="0.3">
      <c r="A978" s="1">
        <v>36433</v>
      </c>
      <c r="B978" t="s">
        <v>17</v>
      </c>
      <c r="C978">
        <v>4239</v>
      </c>
      <c r="D978" t="s">
        <v>23</v>
      </c>
    </row>
    <row r="979" spans="1:4" x14ac:dyDescent="0.3">
      <c r="A979" s="1">
        <v>36433</v>
      </c>
      <c r="B979" t="s">
        <v>17</v>
      </c>
      <c r="C979">
        <v>1352</v>
      </c>
      <c r="D979" t="s">
        <v>24</v>
      </c>
    </row>
    <row r="980" spans="1:4" x14ac:dyDescent="0.3">
      <c r="A980" s="1">
        <v>36433</v>
      </c>
      <c r="B980" t="s">
        <v>17</v>
      </c>
      <c r="C980">
        <v>1794</v>
      </c>
      <c r="D980" t="s">
        <v>25</v>
      </c>
    </row>
    <row r="981" spans="1:4" x14ac:dyDescent="0.3">
      <c r="A981" s="1">
        <v>36433</v>
      </c>
      <c r="B981" t="s">
        <v>17</v>
      </c>
      <c r="C981">
        <v>994</v>
      </c>
      <c r="D981" t="s">
        <v>26</v>
      </c>
    </row>
    <row r="982" spans="1:4" x14ac:dyDescent="0.3">
      <c r="A982" s="1">
        <v>36433</v>
      </c>
      <c r="B982" t="s">
        <v>17</v>
      </c>
      <c r="C982">
        <v>2235</v>
      </c>
      <c r="D982" t="s">
        <v>27</v>
      </c>
    </row>
    <row r="983" spans="1:4" x14ac:dyDescent="0.3">
      <c r="A983" s="1">
        <v>36525</v>
      </c>
      <c r="B983" t="s">
        <v>17</v>
      </c>
      <c r="C983">
        <v>860</v>
      </c>
      <c r="D983" t="s">
        <v>18</v>
      </c>
    </row>
    <row r="984" spans="1:4" x14ac:dyDescent="0.3">
      <c r="A984" s="1">
        <v>36525</v>
      </c>
      <c r="B984" t="s">
        <v>17</v>
      </c>
      <c r="C984">
        <v>742</v>
      </c>
      <c r="D984" t="s">
        <v>19</v>
      </c>
    </row>
    <row r="985" spans="1:4" x14ac:dyDescent="0.3">
      <c r="A985" s="1">
        <v>36525</v>
      </c>
      <c r="B985" t="s">
        <v>17</v>
      </c>
      <c r="C985">
        <v>457</v>
      </c>
      <c r="D985" t="s">
        <v>20</v>
      </c>
    </row>
    <row r="986" spans="1:4" x14ac:dyDescent="0.3">
      <c r="A986" s="1">
        <v>36525</v>
      </c>
      <c r="B986" t="s">
        <v>17</v>
      </c>
      <c r="C986">
        <v>2258</v>
      </c>
      <c r="D986" t="s">
        <v>21</v>
      </c>
    </row>
    <row r="987" spans="1:4" x14ac:dyDescent="0.3">
      <c r="A987" s="1">
        <v>36525</v>
      </c>
      <c r="B987" t="s">
        <v>17</v>
      </c>
      <c r="C987">
        <v>1006</v>
      </c>
      <c r="D987" t="s">
        <v>22</v>
      </c>
    </row>
    <row r="988" spans="1:4" x14ac:dyDescent="0.3">
      <c r="A988" s="1">
        <v>36525</v>
      </c>
      <c r="B988" t="s">
        <v>17</v>
      </c>
      <c r="C988">
        <v>4270</v>
      </c>
      <c r="D988" t="s">
        <v>23</v>
      </c>
    </row>
    <row r="989" spans="1:4" x14ac:dyDescent="0.3">
      <c r="A989" s="1">
        <v>36525</v>
      </c>
      <c r="B989" t="s">
        <v>17</v>
      </c>
      <c r="C989">
        <v>1370</v>
      </c>
      <c r="D989" t="s">
        <v>24</v>
      </c>
    </row>
    <row r="990" spans="1:4" x14ac:dyDescent="0.3">
      <c r="A990" s="1">
        <v>36525</v>
      </c>
      <c r="B990" t="s">
        <v>17</v>
      </c>
      <c r="C990">
        <v>1820</v>
      </c>
      <c r="D990" t="s">
        <v>25</v>
      </c>
    </row>
    <row r="991" spans="1:4" x14ac:dyDescent="0.3">
      <c r="A991" s="1">
        <v>36525</v>
      </c>
      <c r="B991" t="s">
        <v>17</v>
      </c>
      <c r="C991">
        <v>925</v>
      </c>
      <c r="D991" t="s">
        <v>26</v>
      </c>
    </row>
    <row r="992" spans="1:4" x14ac:dyDescent="0.3">
      <c r="A992" s="1">
        <v>36525</v>
      </c>
      <c r="B992" t="s">
        <v>17</v>
      </c>
      <c r="C992">
        <v>2207</v>
      </c>
      <c r="D992" t="s">
        <v>27</v>
      </c>
    </row>
    <row r="993" spans="1:4" x14ac:dyDescent="0.3">
      <c r="A993" s="1">
        <v>36616</v>
      </c>
      <c r="B993" t="s">
        <v>17</v>
      </c>
      <c r="C993">
        <v>861</v>
      </c>
      <c r="D993" t="s">
        <v>18</v>
      </c>
    </row>
    <row r="994" spans="1:4" x14ac:dyDescent="0.3">
      <c r="A994" s="1">
        <v>36616</v>
      </c>
      <c r="B994" t="s">
        <v>17</v>
      </c>
      <c r="C994">
        <v>752</v>
      </c>
      <c r="D994" t="s">
        <v>19</v>
      </c>
    </row>
    <row r="995" spans="1:4" x14ac:dyDescent="0.3">
      <c r="A995" s="1">
        <v>36616</v>
      </c>
      <c r="B995" t="s">
        <v>17</v>
      </c>
      <c r="C995">
        <v>459</v>
      </c>
      <c r="D995" t="s">
        <v>20</v>
      </c>
    </row>
    <row r="996" spans="1:4" x14ac:dyDescent="0.3">
      <c r="A996" s="1">
        <v>36616</v>
      </c>
      <c r="B996" t="s">
        <v>17</v>
      </c>
      <c r="C996">
        <v>2287</v>
      </c>
      <c r="D996" t="s">
        <v>21</v>
      </c>
    </row>
    <row r="997" spans="1:4" x14ac:dyDescent="0.3">
      <c r="A997" s="1">
        <v>36616</v>
      </c>
      <c r="B997" t="s">
        <v>17</v>
      </c>
      <c r="C997">
        <v>1005</v>
      </c>
      <c r="D997" t="s">
        <v>22</v>
      </c>
    </row>
    <row r="998" spans="1:4" x14ac:dyDescent="0.3">
      <c r="A998" s="1">
        <v>36616</v>
      </c>
      <c r="B998" t="s">
        <v>17</v>
      </c>
      <c r="C998">
        <v>4305</v>
      </c>
      <c r="D998" t="s">
        <v>23</v>
      </c>
    </row>
    <row r="999" spans="1:4" x14ac:dyDescent="0.3">
      <c r="A999" s="1">
        <v>36616</v>
      </c>
      <c r="B999" t="s">
        <v>17</v>
      </c>
      <c r="C999">
        <v>1385</v>
      </c>
      <c r="D999" t="s">
        <v>24</v>
      </c>
    </row>
    <row r="1000" spans="1:4" x14ac:dyDescent="0.3">
      <c r="A1000" s="1">
        <v>36616</v>
      </c>
      <c r="B1000" t="s">
        <v>17</v>
      </c>
      <c r="C1000">
        <v>1822</v>
      </c>
      <c r="D1000" t="s">
        <v>25</v>
      </c>
    </row>
    <row r="1001" spans="1:4" x14ac:dyDescent="0.3">
      <c r="A1001" s="1">
        <v>36616</v>
      </c>
      <c r="B1001" t="s">
        <v>17</v>
      </c>
      <c r="C1001">
        <v>856</v>
      </c>
      <c r="D1001" t="s">
        <v>26</v>
      </c>
    </row>
    <row r="1002" spans="1:4" x14ac:dyDescent="0.3">
      <c r="A1002" s="1">
        <v>36616</v>
      </c>
      <c r="B1002" t="s">
        <v>17</v>
      </c>
      <c r="C1002">
        <v>2191</v>
      </c>
      <c r="D1002" t="s">
        <v>27</v>
      </c>
    </row>
    <row r="1003" spans="1:4" x14ac:dyDescent="0.3">
      <c r="A1003" s="1">
        <v>36707</v>
      </c>
      <c r="B1003" t="s">
        <v>17</v>
      </c>
      <c r="C1003">
        <v>885</v>
      </c>
      <c r="D1003" t="s">
        <v>18</v>
      </c>
    </row>
    <row r="1004" spans="1:4" x14ac:dyDescent="0.3">
      <c r="A1004" s="1">
        <v>36707</v>
      </c>
      <c r="B1004" t="s">
        <v>17</v>
      </c>
      <c r="C1004">
        <v>758</v>
      </c>
      <c r="D1004" t="s">
        <v>19</v>
      </c>
    </row>
    <row r="1005" spans="1:4" x14ac:dyDescent="0.3">
      <c r="A1005" s="1">
        <v>36707</v>
      </c>
      <c r="B1005" t="s">
        <v>17</v>
      </c>
      <c r="C1005">
        <v>480</v>
      </c>
      <c r="D1005" t="s">
        <v>20</v>
      </c>
    </row>
    <row r="1006" spans="1:4" x14ac:dyDescent="0.3">
      <c r="A1006" s="1">
        <v>36707</v>
      </c>
      <c r="B1006" t="s">
        <v>17</v>
      </c>
      <c r="C1006">
        <v>2320</v>
      </c>
      <c r="D1006" t="s">
        <v>21</v>
      </c>
    </row>
    <row r="1007" spans="1:4" x14ac:dyDescent="0.3">
      <c r="A1007" s="1">
        <v>36707</v>
      </c>
      <c r="B1007" t="s">
        <v>17</v>
      </c>
      <c r="C1007">
        <v>1010</v>
      </c>
      <c r="D1007" t="s">
        <v>22</v>
      </c>
    </row>
    <row r="1008" spans="1:4" x14ac:dyDescent="0.3">
      <c r="A1008" s="1">
        <v>36707</v>
      </c>
      <c r="B1008" t="s">
        <v>17</v>
      </c>
      <c r="C1008">
        <v>4320</v>
      </c>
      <c r="D1008" t="s">
        <v>23</v>
      </c>
    </row>
    <row r="1009" spans="1:4" x14ac:dyDescent="0.3">
      <c r="A1009" s="1">
        <v>36707</v>
      </c>
      <c r="B1009" t="s">
        <v>17</v>
      </c>
      <c r="C1009">
        <v>2</v>
      </c>
      <c r="D1009" t="s">
        <v>28</v>
      </c>
    </row>
    <row r="1010" spans="1:4" x14ac:dyDescent="0.3">
      <c r="A1010" s="1">
        <v>36707</v>
      </c>
      <c r="B1010" t="s">
        <v>17</v>
      </c>
      <c r="C1010">
        <v>1397</v>
      </c>
      <c r="D1010" t="s">
        <v>24</v>
      </c>
    </row>
    <row r="1011" spans="1:4" x14ac:dyDescent="0.3">
      <c r="A1011" s="1">
        <v>36707</v>
      </c>
      <c r="B1011" t="s">
        <v>17</v>
      </c>
      <c r="C1011">
        <v>1844</v>
      </c>
      <c r="D1011" t="s">
        <v>25</v>
      </c>
    </row>
    <row r="1012" spans="1:4" x14ac:dyDescent="0.3">
      <c r="A1012" s="1">
        <v>36707</v>
      </c>
      <c r="B1012" t="s">
        <v>17</v>
      </c>
      <c r="C1012">
        <v>973</v>
      </c>
      <c r="D1012" t="s">
        <v>26</v>
      </c>
    </row>
    <row r="1013" spans="1:4" x14ac:dyDescent="0.3">
      <c r="A1013" s="1">
        <v>36707</v>
      </c>
      <c r="B1013" t="s">
        <v>17</v>
      </c>
      <c r="C1013">
        <v>2270</v>
      </c>
      <c r="D1013" t="s">
        <v>27</v>
      </c>
    </row>
    <row r="1014" spans="1:4" x14ac:dyDescent="0.3">
      <c r="A1014" s="1">
        <v>36799</v>
      </c>
      <c r="B1014" t="s">
        <v>17</v>
      </c>
      <c r="C1014">
        <v>914</v>
      </c>
      <c r="D1014" t="s">
        <v>18</v>
      </c>
    </row>
    <row r="1015" spans="1:4" x14ac:dyDescent="0.3">
      <c r="A1015" s="1">
        <v>36799</v>
      </c>
      <c r="B1015" t="s">
        <v>17</v>
      </c>
      <c r="C1015">
        <v>780</v>
      </c>
      <c r="D1015" t="s">
        <v>19</v>
      </c>
    </row>
    <row r="1016" spans="1:4" x14ac:dyDescent="0.3">
      <c r="A1016" s="1">
        <v>36799</v>
      </c>
      <c r="B1016" t="s">
        <v>17</v>
      </c>
      <c r="C1016">
        <v>474</v>
      </c>
      <c r="D1016" t="s">
        <v>20</v>
      </c>
    </row>
    <row r="1017" spans="1:4" x14ac:dyDescent="0.3">
      <c r="A1017" s="1">
        <v>36799</v>
      </c>
      <c r="B1017" t="s">
        <v>17</v>
      </c>
      <c r="C1017">
        <v>2363</v>
      </c>
      <c r="D1017" t="s">
        <v>21</v>
      </c>
    </row>
    <row r="1018" spans="1:4" x14ac:dyDescent="0.3">
      <c r="A1018" s="1">
        <v>36799</v>
      </c>
      <c r="B1018" t="s">
        <v>17</v>
      </c>
      <c r="C1018">
        <v>1030</v>
      </c>
      <c r="D1018" t="s">
        <v>22</v>
      </c>
    </row>
    <row r="1019" spans="1:4" x14ac:dyDescent="0.3">
      <c r="A1019" s="1">
        <v>36799</v>
      </c>
      <c r="B1019" t="s">
        <v>17</v>
      </c>
      <c r="C1019">
        <v>4346</v>
      </c>
      <c r="D1019" t="s">
        <v>23</v>
      </c>
    </row>
    <row r="1020" spans="1:4" x14ac:dyDescent="0.3">
      <c r="A1020" s="1">
        <v>36799</v>
      </c>
      <c r="B1020" t="s">
        <v>17</v>
      </c>
      <c r="C1020">
        <v>3</v>
      </c>
      <c r="D1020" t="s">
        <v>28</v>
      </c>
    </row>
    <row r="1021" spans="1:4" x14ac:dyDescent="0.3">
      <c r="A1021" s="1">
        <v>36799</v>
      </c>
      <c r="B1021" t="s">
        <v>17</v>
      </c>
      <c r="C1021">
        <v>1423</v>
      </c>
      <c r="D1021" t="s">
        <v>24</v>
      </c>
    </row>
    <row r="1022" spans="1:4" x14ac:dyDescent="0.3">
      <c r="A1022" s="1">
        <v>36799</v>
      </c>
      <c r="B1022" t="s">
        <v>17</v>
      </c>
      <c r="C1022">
        <v>1907</v>
      </c>
      <c r="D1022" t="s">
        <v>25</v>
      </c>
    </row>
    <row r="1023" spans="1:4" x14ac:dyDescent="0.3">
      <c r="A1023" s="1">
        <v>36799</v>
      </c>
      <c r="B1023" t="s">
        <v>17</v>
      </c>
      <c r="C1023">
        <v>977</v>
      </c>
      <c r="D1023" t="s">
        <v>26</v>
      </c>
    </row>
    <row r="1024" spans="1:4" x14ac:dyDescent="0.3">
      <c r="A1024" s="1">
        <v>36799</v>
      </c>
      <c r="B1024" t="s">
        <v>17</v>
      </c>
      <c r="C1024">
        <v>2283</v>
      </c>
      <c r="D1024" t="s">
        <v>27</v>
      </c>
    </row>
    <row r="1025" spans="1:4" x14ac:dyDescent="0.3">
      <c r="A1025" s="1">
        <v>36891</v>
      </c>
      <c r="B1025" t="s">
        <v>17</v>
      </c>
      <c r="C1025">
        <v>934</v>
      </c>
      <c r="D1025" t="s">
        <v>18</v>
      </c>
    </row>
    <row r="1026" spans="1:4" x14ac:dyDescent="0.3">
      <c r="A1026" s="1">
        <v>36891</v>
      </c>
      <c r="B1026" t="s">
        <v>17</v>
      </c>
      <c r="C1026">
        <v>775</v>
      </c>
      <c r="D1026" t="s">
        <v>19</v>
      </c>
    </row>
    <row r="1027" spans="1:4" x14ac:dyDescent="0.3">
      <c r="A1027" s="1">
        <v>36891</v>
      </c>
      <c r="B1027" t="s">
        <v>17</v>
      </c>
      <c r="C1027">
        <v>472</v>
      </c>
      <c r="D1027" t="s">
        <v>20</v>
      </c>
    </row>
    <row r="1028" spans="1:4" x14ac:dyDescent="0.3">
      <c r="A1028" s="1">
        <v>36891</v>
      </c>
      <c r="B1028" t="s">
        <v>17</v>
      </c>
      <c r="C1028">
        <v>2406</v>
      </c>
      <c r="D1028" t="s">
        <v>21</v>
      </c>
    </row>
    <row r="1029" spans="1:4" x14ac:dyDescent="0.3">
      <c r="A1029" s="1">
        <v>36891</v>
      </c>
      <c r="B1029" t="s">
        <v>17</v>
      </c>
      <c r="C1029">
        <v>1034</v>
      </c>
      <c r="D1029" t="s">
        <v>22</v>
      </c>
    </row>
    <row r="1030" spans="1:4" x14ac:dyDescent="0.3">
      <c r="A1030" s="1">
        <v>36891</v>
      </c>
      <c r="B1030" t="s">
        <v>17</v>
      </c>
      <c r="C1030">
        <v>4384</v>
      </c>
      <c r="D1030" t="s">
        <v>23</v>
      </c>
    </row>
    <row r="1031" spans="1:4" x14ac:dyDescent="0.3">
      <c r="A1031" s="1">
        <v>36891</v>
      </c>
      <c r="B1031" t="s">
        <v>17</v>
      </c>
      <c r="C1031">
        <v>6</v>
      </c>
      <c r="D1031" t="s">
        <v>28</v>
      </c>
    </row>
    <row r="1032" spans="1:4" x14ac:dyDescent="0.3">
      <c r="A1032" s="1">
        <v>36891</v>
      </c>
      <c r="B1032" t="s">
        <v>17</v>
      </c>
      <c r="C1032">
        <v>1432</v>
      </c>
      <c r="D1032" t="s">
        <v>24</v>
      </c>
    </row>
    <row r="1033" spans="1:4" x14ac:dyDescent="0.3">
      <c r="A1033" s="1">
        <v>36891</v>
      </c>
      <c r="B1033" t="s">
        <v>17</v>
      </c>
      <c r="C1033">
        <v>1903</v>
      </c>
      <c r="D1033" t="s">
        <v>25</v>
      </c>
    </row>
    <row r="1034" spans="1:4" x14ac:dyDescent="0.3">
      <c r="A1034" s="1">
        <v>36891</v>
      </c>
      <c r="B1034" t="s">
        <v>17</v>
      </c>
      <c r="C1034">
        <v>950</v>
      </c>
      <c r="D1034" t="s">
        <v>26</v>
      </c>
    </row>
    <row r="1035" spans="1:4" x14ac:dyDescent="0.3">
      <c r="A1035" s="1">
        <v>36891</v>
      </c>
      <c r="B1035" t="s">
        <v>17</v>
      </c>
      <c r="C1035">
        <v>2286</v>
      </c>
      <c r="D1035" t="s">
        <v>27</v>
      </c>
    </row>
    <row r="1036" spans="1:4" x14ac:dyDescent="0.3">
      <c r="A1036" s="1">
        <v>36981</v>
      </c>
      <c r="B1036" t="s">
        <v>17</v>
      </c>
      <c r="C1036">
        <v>954</v>
      </c>
      <c r="D1036" t="s">
        <v>18</v>
      </c>
    </row>
    <row r="1037" spans="1:4" x14ac:dyDescent="0.3">
      <c r="A1037" s="1">
        <v>36981</v>
      </c>
      <c r="B1037" t="s">
        <v>17</v>
      </c>
      <c r="C1037">
        <v>776</v>
      </c>
      <c r="D1037" t="s">
        <v>19</v>
      </c>
    </row>
    <row r="1038" spans="1:4" x14ac:dyDescent="0.3">
      <c r="A1038" s="1">
        <v>36981</v>
      </c>
      <c r="B1038" t="s">
        <v>17</v>
      </c>
      <c r="C1038">
        <v>478</v>
      </c>
      <c r="D1038" t="s">
        <v>20</v>
      </c>
    </row>
    <row r="1039" spans="1:4" x14ac:dyDescent="0.3">
      <c r="A1039" s="1">
        <v>36981</v>
      </c>
      <c r="B1039" t="s">
        <v>17</v>
      </c>
      <c r="C1039">
        <v>2395</v>
      </c>
      <c r="D1039" t="s">
        <v>21</v>
      </c>
    </row>
    <row r="1040" spans="1:4" x14ac:dyDescent="0.3">
      <c r="A1040" s="1">
        <v>36981</v>
      </c>
      <c r="B1040" t="s">
        <v>17</v>
      </c>
      <c r="C1040">
        <v>1041</v>
      </c>
      <c r="D1040" t="s">
        <v>22</v>
      </c>
    </row>
    <row r="1041" spans="1:4" x14ac:dyDescent="0.3">
      <c r="A1041" s="1">
        <v>36981</v>
      </c>
      <c r="B1041" t="s">
        <v>17</v>
      </c>
      <c r="C1041">
        <v>4322</v>
      </c>
      <c r="D1041" t="s">
        <v>23</v>
      </c>
    </row>
    <row r="1042" spans="1:4" x14ac:dyDescent="0.3">
      <c r="A1042" s="1">
        <v>36981</v>
      </c>
      <c r="B1042" t="s">
        <v>17</v>
      </c>
      <c r="C1042">
        <v>8</v>
      </c>
      <c r="D1042" t="s">
        <v>28</v>
      </c>
    </row>
    <row r="1043" spans="1:4" x14ac:dyDescent="0.3">
      <c r="A1043" s="1">
        <v>36981</v>
      </c>
      <c r="B1043" t="s">
        <v>17</v>
      </c>
      <c r="C1043">
        <v>1439</v>
      </c>
      <c r="D1043" t="s">
        <v>24</v>
      </c>
    </row>
    <row r="1044" spans="1:4" x14ac:dyDescent="0.3">
      <c r="A1044" s="1">
        <v>36981</v>
      </c>
      <c r="B1044" t="s">
        <v>17</v>
      </c>
      <c r="C1044">
        <v>1935</v>
      </c>
      <c r="D1044" t="s">
        <v>25</v>
      </c>
    </row>
    <row r="1045" spans="1:4" x14ac:dyDescent="0.3">
      <c r="A1045" s="1">
        <v>36981</v>
      </c>
      <c r="B1045" t="s">
        <v>17</v>
      </c>
      <c r="C1045">
        <v>897</v>
      </c>
      <c r="D1045" t="s">
        <v>26</v>
      </c>
    </row>
    <row r="1046" spans="1:4" x14ac:dyDescent="0.3">
      <c r="A1046" s="1">
        <v>36981</v>
      </c>
      <c r="B1046" t="s">
        <v>17</v>
      </c>
      <c r="C1046">
        <v>2265</v>
      </c>
      <c r="D1046" t="s">
        <v>27</v>
      </c>
    </row>
    <row r="1047" spans="1:4" x14ac:dyDescent="0.3">
      <c r="A1047" s="1">
        <v>37072</v>
      </c>
      <c r="B1047" t="s">
        <v>17</v>
      </c>
      <c r="C1047">
        <v>982</v>
      </c>
      <c r="D1047" t="s">
        <v>18</v>
      </c>
    </row>
    <row r="1048" spans="1:4" x14ac:dyDescent="0.3">
      <c r="A1048" s="1">
        <v>37072</v>
      </c>
      <c r="B1048" t="s">
        <v>17</v>
      </c>
      <c r="C1048">
        <v>795</v>
      </c>
      <c r="D1048" t="s">
        <v>19</v>
      </c>
    </row>
    <row r="1049" spans="1:4" x14ac:dyDescent="0.3">
      <c r="A1049" s="1">
        <v>37072</v>
      </c>
      <c r="B1049" t="s">
        <v>17</v>
      </c>
      <c r="C1049">
        <v>490</v>
      </c>
      <c r="D1049" t="s">
        <v>20</v>
      </c>
    </row>
    <row r="1050" spans="1:4" x14ac:dyDescent="0.3">
      <c r="A1050" s="1">
        <v>37072</v>
      </c>
      <c r="B1050" t="s">
        <v>17</v>
      </c>
      <c r="C1050">
        <v>2468</v>
      </c>
      <c r="D1050" t="s">
        <v>21</v>
      </c>
    </row>
    <row r="1051" spans="1:4" x14ac:dyDescent="0.3">
      <c r="A1051" s="1">
        <v>37072</v>
      </c>
      <c r="B1051" t="s">
        <v>17</v>
      </c>
      <c r="C1051">
        <v>1058</v>
      </c>
      <c r="D1051" t="s">
        <v>22</v>
      </c>
    </row>
    <row r="1052" spans="1:4" x14ac:dyDescent="0.3">
      <c r="A1052" s="1">
        <v>37072</v>
      </c>
      <c r="B1052" t="s">
        <v>17</v>
      </c>
      <c r="C1052">
        <v>4356</v>
      </c>
      <c r="D1052" t="s">
        <v>23</v>
      </c>
    </row>
    <row r="1053" spans="1:4" x14ac:dyDescent="0.3">
      <c r="A1053" s="1">
        <v>37072</v>
      </c>
      <c r="B1053" t="s">
        <v>17</v>
      </c>
      <c r="C1053">
        <v>11</v>
      </c>
      <c r="D1053" t="s">
        <v>28</v>
      </c>
    </row>
    <row r="1054" spans="1:4" x14ac:dyDescent="0.3">
      <c r="A1054" s="1">
        <v>37072</v>
      </c>
      <c r="B1054" t="s">
        <v>17</v>
      </c>
      <c r="C1054">
        <v>1454</v>
      </c>
      <c r="D1054" t="s">
        <v>24</v>
      </c>
    </row>
    <row r="1055" spans="1:4" x14ac:dyDescent="0.3">
      <c r="A1055" s="1">
        <v>37072</v>
      </c>
      <c r="B1055" t="s">
        <v>17</v>
      </c>
      <c r="C1055">
        <v>1965</v>
      </c>
      <c r="D1055" t="s">
        <v>25</v>
      </c>
    </row>
    <row r="1056" spans="1:4" x14ac:dyDescent="0.3">
      <c r="A1056" s="1">
        <v>37072</v>
      </c>
      <c r="B1056" t="s">
        <v>17</v>
      </c>
      <c r="C1056">
        <v>942</v>
      </c>
      <c r="D1056" t="s">
        <v>26</v>
      </c>
    </row>
    <row r="1057" spans="1:4" x14ac:dyDescent="0.3">
      <c r="A1057" s="1">
        <v>37072</v>
      </c>
      <c r="B1057" t="s">
        <v>17</v>
      </c>
      <c r="C1057">
        <v>2411</v>
      </c>
      <c r="D1057" t="s">
        <v>27</v>
      </c>
    </row>
    <row r="1058" spans="1:4" x14ac:dyDescent="0.3">
      <c r="A1058" s="1">
        <v>37164</v>
      </c>
      <c r="B1058" t="s">
        <v>17</v>
      </c>
      <c r="C1058">
        <v>996</v>
      </c>
      <c r="D1058" t="s">
        <v>18</v>
      </c>
    </row>
    <row r="1059" spans="1:4" x14ac:dyDescent="0.3">
      <c r="A1059" s="1">
        <v>37164</v>
      </c>
      <c r="B1059" t="s">
        <v>17</v>
      </c>
      <c r="C1059">
        <v>805</v>
      </c>
      <c r="D1059" t="s">
        <v>19</v>
      </c>
    </row>
    <row r="1060" spans="1:4" x14ac:dyDescent="0.3">
      <c r="A1060" s="1">
        <v>37164</v>
      </c>
      <c r="B1060" t="s">
        <v>17</v>
      </c>
      <c r="C1060">
        <v>519</v>
      </c>
      <c r="D1060" t="s">
        <v>20</v>
      </c>
    </row>
    <row r="1061" spans="1:4" x14ac:dyDescent="0.3">
      <c r="A1061" s="1">
        <v>37164</v>
      </c>
      <c r="B1061" t="s">
        <v>17</v>
      </c>
      <c r="C1061">
        <v>2508</v>
      </c>
      <c r="D1061" t="s">
        <v>21</v>
      </c>
    </row>
    <row r="1062" spans="1:4" x14ac:dyDescent="0.3">
      <c r="A1062" s="1">
        <v>37164</v>
      </c>
      <c r="B1062" t="s">
        <v>17</v>
      </c>
      <c r="C1062">
        <v>1066</v>
      </c>
      <c r="D1062" t="s">
        <v>22</v>
      </c>
    </row>
    <row r="1063" spans="1:4" x14ac:dyDescent="0.3">
      <c r="A1063" s="1">
        <v>37164</v>
      </c>
      <c r="B1063" t="s">
        <v>17</v>
      </c>
      <c r="C1063">
        <v>4371</v>
      </c>
      <c r="D1063" t="s">
        <v>23</v>
      </c>
    </row>
    <row r="1064" spans="1:4" x14ac:dyDescent="0.3">
      <c r="A1064" s="1">
        <v>37164</v>
      </c>
      <c r="B1064" t="s">
        <v>17</v>
      </c>
      <c r="C1064">
        <v>15</v>
      </c>
      <c r="D1064" t="s">
        <v>28</v>
      </c>
    </row>
    <row r="1065" spans="1:4" x14ac:dyDescent="0.3">
      <c r="A1065" s="1">
        <v>37164</v>
      </c>
      <c r="B1065" t="s">
        <v>17</v>
      </c>
      <c r="C1065">
        <v>1484</v>
      </c>
      <c r="D1065" t="s">
        <v>24</v>
      </c>
    </row>
    <row r="1066" spans="1:4" x14ac:dyDescent="0.3">
      <c r="A1066" s="1">
        <v>37164</v>
      </c>
      <c r="B1066" t="s">
        <v>17</v>
      </c>
      <c r="C1066">
        <v>2009</v>
      </c>
      <c r="D1066" t="s">
        <v>25</v>
      </c>
    </row>
    <row r="1067" spans="1:4" x14ac:dyDescent="0.3">
      <c r="A1067" s="1">
        <v>37164</v>
      </c>
      <c r="B1067" t="s">
        <v>17</v>
      </c>
      <c r="C1067">
        <v>986</v>
      </c>
      <c r="D1067" t="s">
        <v>26</v>
      </c>
    </row>
    <row r="1068" spans="1:4" x14ac:dyDescent="0.3">
      <c r="A1068" s="1">
        <v>37164</v>
      </c>
      <c r="B1068" t="s">
        <v>17</v>
      </c>
      <c r="C1068">
        <v>2442</v>
      </c>
      <c r="D1068" t="s">
        <v>27</v>
      </c>
    </row>
    <row r="1069" spans="1:4" x14ac:dyDescent="0.3">
      <c r="A1069" s="1">
        <v>37256</v>
      </c>
      <c r="B1069" t="s">
        <v>17</v>
      </c>
      <c r="C1069">
        <v>1010</v>
      </c>
      <c r="D1069" t="s">
        <v>18</v>
      </c>
    </row>
    <row r="1070" spans="1:4" x14ac:dyDescent="0.3">
      <c r="A1070" s="1">
        <v>37256</v>
      </c>
      <c r="B1070" t="s">
        <v>17</v>
      </c>
      <c r="C1070">
        <v>818</v>
      </c>
      <c r="D1070" t="s">
        <v>19</v>
      </c>
    </row>
    <row r="1071" spans="1:4" x14ac:dyDescent="0.3">
      <c r="A1071" s="1">
        <v>37256</v>
      </c>
      <c r="B1071" t="s">
        <v>17</v>
      </c>
      <c r="C1071">
        <v>514</v>
      </c>
      <c r="D1071" t="s">
        <v>20</v>
      </c>
    </row>
    <row r="1072" spans="1:4" x14ac:dyDescent="0.3">
      <c r="A1072" s="1">
        <v>37256</v>
      </c>
      <c r="B1072" t="s">
        <v>17</v>
      </c>
      <c r="C1072">
        <v>2549</v>
      </c>
      <c r="D1072" t="s">
        <v>21</v>
      </c>
    </row>
    <row r="1073" spans="1:4" x14ac:dyDescent="0.3">
      <c r="A1073" s="1">
        <v>37256</v>
      </c>
      <c r="B1073" t="s">
        <v>17</v>
      </c>
      <c r="C1073">
        <v>1094</v>
      </c>
      <c r="D1073" t="s">
        <v>22</v>
      </c>
    </row>
    <row r="1074" spans="1:4" x14ac:dyDescent="0.3">
      <c r="A1074" s="1">
        <v>37256</v>
      </c>
      <c r="B1074" t="s">
        <v>17</v>
      </c>
      <c r="C1074">
        <v>4413</v>
      </c>
      <c r="D1074" t="s">
        <v>23</v>
      </c>
    </row>
    <row r="1075" spans="1:4" x14ac:dyDescent="0.3">
      <c r="A1075" s="1">
        <v>37256</v>
      </c>
      <c r="B1075" t="s">
        <v>17</v>
      </c>
      <c r="C1075">
        <v>16</v>
      </c>
      <c r="D1075" t="s">
        <v>28</v>
      </c>
    </row>
    <row r="1076" spans="1:4" x14ac:dyDescent="0.3">
      <c r="A1076" s="1">
        <v>37256</v>
      </c>
      <c r="B1076" t="s">
        <v>17</v>
      </c>
      <c r="C1076">
        <v>1518</v>
      </c>
      <c r="D1076" t="s">
        <v>24</v>
      </c>
    </row>
    <row r="1077" spans="1:4" x14ac:dyDescent="0.3">
      <c r="A1077" s="1">
        <v>37256</v>
      </c>
      <c r="B1077" t="s">
        <v>17</v>
      </c>
      <c r="C1077">
        <v>2038</v>
      </c>
      <c r="D1077" t="s">
        <v>25</v>
      </c>
    </row>
    <row r="1078" spans="1:4" x14ac:dyDescent="0.3">
      <c r="A1078" s="1">
        <v>37256</v>
      </c>
      <c r="B1078" t="s">
        <v>17</v>
      </c>
      <c r="C1078">
        <v>992</v>
      </c>
      <c r="D1078" t="s">
        <v>26</v>
      </c>
    </row>
    <row r="1079" spans="1:4" x14ac:dyDescent="0.3">
      <c r="A1079" s="1">
        <v>37256</v>
      </c>
      <c r="B1079" t="s">
        <v>17</v>
      </c>
      <c r="C1079">
        <v>2427</v>
      </c>
      <c r="D1079" t="s">
        <v>27</v>
      </c>
    </row>
    <row r="1080" spans="1:4" x14ac:dyDescent="0.3">
      <c r="A1080" s="1">
        <v>37346</v>
      </c>
      <c r="B1080" t="s">
        <v>17</v>
      </c>
      <c r="C1080">
        <v>1021</v>
      </c>
      <c r="D1080" t="s">
        <v>18</v>
      </c>
    </row>
    <row r="1081" spans="1:4" x14ac:dyDescent="0.3">
      <c r="A1081" s="1">
        <v>37346</v>
      </c>
      <c r="B1081" t="s">
        <v>17</v>
      </c>
      <c r="C1081">
        <v>818</v>
      </c>
      <c r="D1081" t="s">
        <v>19</v>
      </c>
    </row>
    <row r="1082" spans="1:4" x14ac:dyDescent="0.3">
      <c r="A1082" s="1">
        <v>37346</v>
      </c>
      <c r="B1082" t="s">
        <v>17</v>
      </c>
      <c r="C1082">
        <v>519</v>
      </c>
      <c r="D1082" t="s">
        <v>20</v>
      </c>
    </row>
    <row r="1083" spans="1:4" x14ac:dyDescent="0.3">
      <c r="A1083" s="1">
        <v>37346</v>
      </c>
      <c r="B1083" t="s">
        <v>17</v>
      </c>
      <c r="C1083">
        <v>2573</v>
      </c>
      <c r="D1083" t="s">
        <v>21</v>
      </c>
    </row>
    <row r="1084" spans="1:4" x14ac:dyDescent="0.3">
      <c r="A1084" s="1">
        <v>37346</v>
      </c>
      <c r="B1084" t="s">
        <v>17</v>
      </c>
      <c r="C1084">
        <v>1120</v>
      </c>
      <c r="D1084" t="s">
        <v>22</v>
      </c>
    </row>
    <row r="1085" spans="1:4" x14ac:dyDescent="0.3">
      <c r="A1085" s="1">
        <v>37346</v>
      </c>
      <c r="B1085" t="s">
        <v>17</v>
      </c>
      <c r="C1085">
        <v>4493</v>
      </c>
      <c r="D1085" t="s">
        <v>23</v>
      </c>
    </row>
    <row r="1086" spans="1:4" x14ac:dyDescent="0.3">
      <c r="A1086" s="1">
        <v>37346</v>
      </c>
      <c r="B1086" t="s">
        <v>17</v>
      </c>
      <c r="C1086">
        <v>18</v>
      </c>
      <c r="D1086" t="s">
        <v>28</v>
      </c>
    </row>
    <row r="1087" spans="1:4" x14ac:dyDescent="0.3">
      <c r="A1087" s="1">
        <v>37346</v>
      </c>
      <c r="B1087" t="s">
        <v>17</v>
      </c>
      <c r="C1087">
        <v>1546</v>
      </c>
      <c r="D1087" t="s">
        <v>24</v>
      </c>
    </row>
    <row r="1088" spans="1:4" x14ac:dyDescent="0.3">
      <c r="A1088" s="1">
        <v>37346</v>
      </c>
      <c r="B1088" t="s">
        <v>17</v>
      </c>
      <c r="C1088">
        <v>2000</v>
      </c>
      <c r="D1088" t="s">
        <v>25</v>
      </c>
    </row>
    <row r="1089" spans="1:4" x14ac:dyDescent="0.3">
      <c r="A1089" s="1">
        <v>37346</v>
      </c>
      <c r="B1089" t="s">
        <v>17</v>
      </c>
      <c r="C1089">
        <v>873</v>
      </c>
      <c r="D1089" t="s">
        <v>26</v>
      </c>
    </row>
    <row r="1090" spans="1:4" x14ac:dyDescent="0.3">
      <c r="A1090" s="1">
        <v>37346</v>
      </c>
      <c r="B1090" t="s">
        <v>17</v>
      </c>
      <c r="C1090">
        <v>2440</v>
      </c>
      <c r="D1090" t="s">
        <v>27</v>
      </c>
    </row>
    <row r="1091" spans="1:4" x14ac:dyDescent="0.3">
      <c r="A1091" s="1">
        <v>37437</v>
      </c>
      <c r="B1091" t="s">
        <v>17</v>
      </c>
      <c r="C1091">
        <v>1038</v>
      </c>
      <c r="D1091" t="s">
        <v>18</v>
      </c>
    </row>
    <row r="1092" spans="1:4" x14ac:dyDescent="0.3">
      <c r="A1092" s="1">
        <v>37437</v>
      </c>
      <c r="B1092" t="s">
        <v>17</v>
      </c>
      <c r="C1092">
        <v>842</v>
      </c>
      <c r="D1092" t="s">
        <v>19</v>
      </c>
    </row>
    <row r="1093" spans="1:4" x14ac:dyDescent="0.3">
      <c r="A1093" s="1">
        <v>37437</v>
      </c>
      <c r="B1093" t="s">
        <v>17</v>
      </c>
      <c r="C1093">
        <v>534</v>
      </c>
      <c r="D1093" t="s">
        <v>20</v>
      </c>
    </row>
    <row r="1094" spans="1:4" x14ac:dyDescent="0.3">
      <c r="A1094" s="1">
        <v>37437</v>
      </c>
      <c r="B1094" t="s">
        <v>17</v>
      </c>
      <c r="C1094">
        <v>2671</v>
      </c>
      <c r="D1094" t="s">
        <v>21</v>
      </c>
    </row>
    <row r="1095" spans="1:4" x14ac:dyDescent="0.3">
      <c r="A1095" s="1">
        <v>37437</v>
      </c>
      <c r="B1095" t="s">
        <v>17</v>
      </c>
      <c r="C1095">
        <v>1160</v>
      </c>
      <c r="D1095" t="s">
        <v>22</v>
      </c>
    </row>
    <row r="1096" spans="1:4" x14ac:dyDescent="0.3">
      <c r="A1096" s="1">
        <v>37437</v>
      </c>
      <c r="B1096" t="s">
        <v>17</v>
      </c>
      <c r="C1096">
        <v>4560</v>
      </c>
      <c r="D1096" t="s">
        <v>23</v>
      </c>
    </row>
    <row r="1097" spans="1:4" x14ac:dyDescent="0.3">
      <c r="A1097" s="1">
        <v>37437</v>
      </c>
      <c r="B1097" t="s">
        <v>17</v>
      </c>
      <c r="C1097">
        <v>19</v>
      </c>
      <c r="D1097" t="s">
        <v>28</v>
      </c>
    </row>
    <row r="1098" spans="1:4" x14ac:dyDescent="0.3">
      <c r="A1098" s="1">
        <v>37437</v>
      </c>
      <c r="B1098" t="s">
        <v>17</v>
      </c>
      <c r="C1098">
        <v>1589</v>
      </c>
      <c r="D1098" t="s">
        <v>24</v>
      </c>
    </row>
    <row r="1099" spans="1:4" x14ac:dyDescent="0.3">
      <c r="A1099" s="1">
        <v>37437</v>
      </c>
      <c r="B1099" t="s">
        <v>17</v>
      </c>
      <c r="C1099">
        <v>2115</v>
      </c>
      <c r="D1099" t="s">
        <v>25</v>
      </c>
    </row>
    <row r="1100" spans="1:4" x14ac:dyDescent="0.3">
      <c r="A1100" s="1">
        <v>37437</v>
      </c>
      <c r="B1100" t="s">
        <v>17</v>
      </c>
      <c r="C1100">
        <v>982</v>
      </c>
      <c r="D1100" t="s">
        <v>26</v>
      </c>
    </row>
    <row r="1101" spans="1:4" x14ac:dyDescent="0.3">
      <c r="A1101" s="1">
        <v>37437</v>
      </c>
      <c r="B1101" t="s">
        <v>17</v>
      </c>
      <c r="C1101">
        <v>2485</v>
      </c>
      <c r="D1101" t="s">
        <v>27</v>
      </c>
    </row>
    <row r="1102" spans="1:4" x14ac:dyDescent="0.3">
      <c r="A1102" s="1">
        <v>37529</v>
      </c>
      <c r="B1102" t="s">
        <v>17</v>
      </c>
      <c r="C1102">
        <v>1049</v>
      </c>
      <c r="D1102" t="s">
        <v>18</v>
      </c>
    </row>
    <row r="1103" spans="1:4" x14ac:dyDescent="0.3">
      <c r="A1103" s="1">
        <v>37529</v>
      </c>
      <c r="B1103" t="s">
        <v>17</v>
      </c>
      <c r="C1103">
        <v>842</v>
      </c>
      <c r="D1103" t="s">
        <v>19</v>
      </c>
    </row>
    <row r="1104" spans="1:4" x14ac:dyDescent="0.3">
      <c r="A1104" s="1">
        <v>37529</v>
      </c>
      <c r="B1104" t="s">
        <v>17</v>
      </c>
      <c r="C1104">
        <v>526</v>
      </c>
      <c r="D1104" t="s">
        <v>20</v>
      </c>
    </row>
    <row r="1105" spans="1:4" x14ac:dyDescent="0.3">
      <c r="A1105" s="1">
        <v>37529</v>
      </c>
      <c r="B1105" t="s">
        <v>17</v>
      </c>
      <c r="C1105">
        <v>2737</v>
      </c>
      <c r="D1105" t="s">
        <v>21</v>
      </c>
    </row>
    <row r="1106" spans="1:4" x14ac:dyDescent="0.3">
      <c r="A1106" s="1">
        <v>37529</v>
      </c>
      <c r="B1106" t="s">
        <v>17</v>
      </c>
      <c r="C1106">
        <v>1183</v>
      </c>
      <c r="D1106" t="s">
        <v>22</v>
      </c>
    </row>
    <row r="1107" spans="1:4" x14ac:dyDescent="0.3">
      <c r="A1107" s="1">
        <v>37529</v>
      </c>
      <c r="B1107" t="s">
        <v>17</v>
      </c>
      <c r="C1107">
        <v>4614</v>
      </c>
      <c r="D1107" t="s">
        <v>23</v>
      </c>
    </row>
    <row r="1108" spans="1:4" x14ac:dyDescent="0.3">
      <c r="A1108" s="1">
        <v>37529</v>
      </c>
      <c r="B1108" t="s">
        <v>17</v>
      </c>
      <c r="C1108">
        <v>21</v>
      </c>
      <c r="D1108" t="s">
        <v>28</v>
      </c>
    </row>
    <row r="1109" spans="1:4" x14ac:dyDescent="0.3">
      <c r="A1109" s="1">
        <v>37529</v>
      </c>
      <c r="B1109" t="s">
        <v>17</v>
      </c>
      <c r="C1109">
        <v>1617</v>
      </c>
      <c r="D1109" t="s">
        <v>24</v>
      </c>
    </row>
    <row r="1110" spans="1:4" x14ac:dyDescent="0.3">
      <c r="A1110" s="1">
        <v>37529</v>
      </c>
      <c r="B1110" t="s">
        <v>17</v>
      </c>
      <c r="C1110">
        <v>2112</v>
      </c>
      <c r="D1110" t="s">
        <v>25</v>
      </c>
    </row>
    <row r="1111" spans="1:4" x14ac:dyDescent="0.3">
      <c r="A1111" s="1">
        <v>37529</v>
      </c>
      <c r="B1111" t="s">
        <v>17</v>
      </c>
      <c r="C1111">
        <v>987</v>
      </c>
      <c r="D1111" t="s">
        <v>26</v>
      </c>
    </row>
    <row r="1112" spans="1:4" x14ac:dyDescent="0.3">
      <c r="A1112" s="1">
        <v>37529</v>
      </c>
      <c r="B1112" t="s">
        <v>17</v>
      </c>
      <c r="C1112">
        <v>2589</v>
      </c>
      <c r="D1112" t="s">
        <v>27</v>
      </c>
    </row>
    <row r="1113" spans="1:4" x14ac:dyDescent="0.3">
      <c r="A1113" s="1">
        <v>37621</v>
      </c>
      <c r="B1113" t="s">
        <v>17</v>
      </c>
      <c r="C1113">
        <v>1051</v>
      </c>
      <c r="D1113" t="s">
        <v>18</v>
      </c>
    </row>
    <row r="1114" spans="1:4" x14ac:dyDescent="0.3">
      <c r="A1114" s="1">
        <v>37621</v>
      </c>
      <c r="B1114" t="s">
        <v>17</v>
      </c>
      <c r="C1114">
        <v>843</v>
      </c>
      <c r="D1114" t="s">
        <v>19</v>
      </c>
    </row>
    <row r="1115" spans="1:4" x14ac:dyDescent="0.3">
      <c r="A1115" s="1">
        <v>37621</v>
      </c>
      <c r="B1115" t="s">
        <v>17</v>
      </c>
      <c r="C1115">
        <v>544</v>
      </c>
      <c r="D1115" t="s">
        <v>20</v>
      </c>
    </row>
    <row r="1116" spans="1:4" x14ac:dyDescent="0.3">
      <c r="A1116" s="1">
        <v>37621</v>
      </c>
      <c r="B1116" t="s">
        <v>17</v>
      </c>
      <c r="C1116">
        <v>2776</v>
      </c>
      <c r="D1116" t="s">
        <v>21</v>
      </c>
    </row>
    <row r="1117" spans="1:4" x14ac:dyDescent="0.3">
      <c r="A1117" s="1">
        <v>37621</v>
      </c>
      <c r="B1117" t="s">
        <v>17</v>
      </c>
      <c r="C1117">
        <v>1202</v>
      </c>
      <c r="D1117" t="s">
        <v>22</v>
      </c>
    </row>
    <row r="1118" spans="1:4" x14ac:dyDescent="0.3">
      <c r="A1118" s="1">
        <v>37621</v>
      </c>
      <c r="B1118" t="s">
        <v>17</v>
      </c>
      <c r="C1118">
        <v>4689</v>
      </c>
      <c r="D1118" t="s">
        <v>23</v>
      </c>
    </row>
    <row r="1119" spans="1:4" x14ac:dyDescent="0.3">
      <c r="A1119" s="1">
        <v>37621</v>
      </c>
      <c r="B1119" t="s">
        <v>17</v>
      </c>
      <c r="C1119">
        <v>25</v>
      </c>
      <c r="D1119" t="s">
        <v>28</v>
      </c>
    </row>
    <row r="1120" spans="1:4" x14ac:dyDescent="0.3">
      <c r="A1120" s="1">
        <v>37621</v>
      </c>
      <c r="B1120" t="s">
        <v>17</v>
      </c>
      <c r="C1120">
        <v>1658</v>
      </c>
      <c r="D1120" t="s">
        <v>24</v>
      </c>
    </row>
    <row r="1121" spans="1:4" x14ac:dyDescent="0.3">
      <c r="A1121" s="1">
        <v>37621</v>
      </c>
      <c r="B1121" t="s">
        <v>17</v>
      </c>
      <c r="C1121">
        <v>2168</v>
      </c>
      <c r="D1121" t="s">
        <v>25</v>
      </c>
    </row>
    <row r="1122" spans="1:4" x14ac:dyDescent="0.3">
      <c r="A1122" s="1">
        <v>37621</v>
      </c>
      <c r="B1122" t="s">
        <v>17</v>
      </c>
      <c r="C1122">
        <v>965</v>
      </c>
      <c r="D1122" t="s">
        <v>26</v>
      </c>
    </row>
    <row r="1123" spans="1:4" x14ac:dyDescent="0.3">
      <c r="A1123" s="1">
        <v>37621</v>
      </c>
      <c r="B1123" t="s">
        <v>17</v>
      </c>
      <c r="C1123">
        <v>2620</v>
      </c>
      <c r="D1123" t="s">
        <v>27</v>
      </c>
    </row>
    <row r="1124" spans="1:4" x14ac:dyDescent="0.3">
      <c r="A1124" s="1">
        <v>37711</v>
      </c>
      <c r="B1124" t="s">
        <v>17</v>
      </c>
      <c r="C1124">
        <v>1056</v>
      </c>
      <c r="D1124" t="s">
        <v>18</v>
      </c>
    </row>
    <row r="1125" spans="1:4" x14ac:dyDescent="0.3">
      <c r="A1125" s="1">
        <v>37711</v>
      </c>
      <c r="B1125" t="s">
        <v>17</v>
      </c>
      <c r="C1125">
        <v>848</v>
      </c>
      <c r="D1125" t="s">
        <v>19</v>
      </c>
    </row>
    <row r="1126" spans="1:4" x14ac:dyDescent="0.3">
      <c r="A1126" s="1">
        <v>37711</v>
      </c>
      <c r="B1126" t="s">
        <v>17</v>
      </c>
      <c r="C1126">
        <v>558</v>
      </c>
      <c r="D1126" t="s">
        <v>20</v>
      </c>
    </row>
    <row r="1127" spans="1:4" x14ac:dyDescent="0.3">
      <c r="A1127" s="1">
        <v>37711</v>
      </c>
      <c r="B1127" t="s">
        <v>17</v>
      </c>
      <c r="C1127">
        <v>2792</v>
      </c>
      <c r="D1127" t="s">
        <v>21</v>
      </c>
    </row>
    <row r="1128" spans="1:4" x14ac:dyDescent="0.3">
      <c r="A1128" s="1">
        <v>37711</v>
      </c>
      <c r="B1128" t="s">
        <v>17</v>
      </c>
      <c r="C1128">
        <v>1212</v>
      </c>
      <c r="D1128" t="s">
        <v>22</v>
      </c>
    </row>
    <row r="1129" spans="1:4" x14ac:dyDescent="0.3">
      <c r="A1129" s="1">
        <v>37711</v>
      </c>
      <c r="B1129" t="s">
        <v>17</v>
      </c>
      <c r="C1129">
        <v>4763</v>
      </c>
      <c r="D1129" t="s">
        <v>23</v>
      </c>
    </row>
    <row r="1130" spans="1:4" x14ac:dyDescent="0.3">
      <c r="A1130" s="1">
        <v>37711</v>
      </c>
      <c r="B1130" t="s">
        <v>17</v>
      </c>
      <c r="C1130">
        <v>29</v>
      </c>
      <c r="D1130" t="s">
        <v>28</v>
      </c>
    </row>
    <row r="1131" spans="1:4" x14ac:dyDescent="0.3">
      <c r="A1131" s="1">
        <v>37711</v>
      </c>
      <c r="B1131" t="s">
        <v>17</v>
      </c>
      <c r="C1131">
        <v>1680</v>
      </c>
      <c r="D1131" t="s">
        <v>24</v>
      </c>
    </row>
    <row r="1132" spans="1:4" x14ac:dyDescent="0.3">
      <c r="A1132" s="1">
        <v>37711</v>
      </c>
      <c r="B1132" t="s">
        <v>17</v>
      </c>
      <c r="C1132">
        <v>2192</v>
      </c>
      <c r="D1132" t="s">
        <v>25</v>
      </c>
    </row>
    <row r="1133" spans="1:4" x14ac:dyDescent="0.3">
      <c r="A1133" s="1">
        <v>37711</v>
      </c>
      <c r="B1133" t="s">
        <v>17</v>
      </c>
      <c r="C1133">
        <v>1051</v>
      </c>
      <c r="D1133" t="s">
        <v>26</v>
      </c>
    </row>
    <row r="1134" spans="1:4" x14ac:dyDescent="0.3">
      <c r="A1134" s="1">
        <v>37711</v>
      </c>
      <c r="B1134" t="s">
        <v>17</v>
      </c>
      <c r="C1134">
        <v>2674</v>
      </c>
      <c r="D1134" t="s">
        <v>27</v>
      </c>
    </row>
    <row r="1135" spans="1:4" x14ac:dyDescent="0.3">
      <c r="A1135" s="1">
        <v>37802</v>
      </c>
      <c r="B1135" t="s">
        <v>17</v>
      </c>
      <c r="C1135">
        <v>1058</v>
      </c>
      <c r="D1135" t="s">
        <v>18</v>
      </c>
    </row>
    <row r="1136" spans="1:4" x14ac:dyDescent="0.3">
      <c r="A1136" s="1">
        <v>37802</v>
      </c>
      <c r="B1136" t="s">
        <v>17</v>
      </c>
      <c r="C1136">
        <v>847</v>
      </c>
      <c r="D1136" t="s">
        <v>19</v>
      </c>
    </row>
    <row r="1137" spans="1:4" x14ac:dyDescent="0.3">
      <c r="A1137" s="1">
        <v>37802</v>
      </c>
      <c r="B1137" t="s">
        <v>17</v>
      </c>
      <c r="C1137">
        <v>561</v>
      </c>
      <c r="D1137" t="s">
        <v>20</v>
      </c>
    </row>
    <row r="1138" spans="1:4" x14ac:dyDescent="0.3">
      <c r="A1138" s="1">
        <v>37802</v>
      </c>
      <c r="B1138" t="s">
        <v>17</v>
      </c>
      <c r="C1138">
        <v>2840</v>
      </c>
      <c r="D1138" t="s">
        <v>21</v>
      </c>
    </row>
    <row r="1139" spans="1:4" x14ac:dyDescent="0.3">
      <c r="A1139" s="1">
        <v>37802</v>
      </c>
      <c r="B1139" t="s">
        <v>17</v>
      </c>
      <c r="C1139">
        <v>1230</v>
      </c>
      <c r="D1139" t="s">
        <v>22</v>
      </c>
    </row>
    <row r="1140" spans="1:4" x14ac:dyDescent="0.3">
      <c r="A1140" s="1">
        <v>37802</v>
      </c>
      <c r="B1140" t="s">
        <v>17</v>
      </c>
      <c r="C1140">
        <v>4825</v>
      </c>
      <c r="D1140" t="s">
        <v>23</v>
      </c>
    </row>
    <row r="1141" spans="1:4" x14ac:dyDescent="0.3">
      <c r="A1141" s="1">
        <v>37802</v>
      </c>
      <c r="B1141" t="s">
        <v>17</v>
      </c>
      <c r="C1141">
        <v>35</v>
      </c>
      <c r="D1141" t="s">
        <v>28</v>
      </c>
    </row>
    <row r="1142" spans="1:4" x14ac:dyDescent="0.3">
      <c r="A1142" s="1">
        <v>37802</v>
      </c>
      <c r="B1142" t="s">
        <v>17</v>
      </c>
      <c r="C1142">
        <v>1706</v>
      </c>
      <c r="D1142" t="s">
        <v>24</v>
      </c>
    </row>
    <row r="1143" spans="1:4" x14ac:dyDescent="0.3">
      <c r="A1143" s="1">
        <v>37802</v>
      </c>
      <c r="B1143" t="s">
        <v>17</v>
      </c>
      <c r="C1143">
        <v>2238</v>
      </c>
      <c r="D1143" t="s">
        <v>25</v>
      </c>
    </row>
    <row r="1144" spans="1:4" x14ac:dyDescent="0.3">
      <c r="A1144" s="1">
        <v>37802</v>
      </c>
      <c r="B1144" t="s">
        <v>17</v>
      </c>
      <c r="C1144">
        <v>1041</v>
      </c>
      <c r="D1144" t="s">
        <v>26</v>
      </c>
    </row>
    <row r="1145" spans="1:4" x14ac:dyDescent="0.3">
      <c r="A1145" s="1">
        <v>37802</v>
      </c>
      <c r="B1145" t="s">
        <v>17</v>
      </c>
      <c r="C1145">
        <v>2653</v>
      </c>
      <c r="D1145" t="s">
        <v>27</v>
      </c>
    </row>
    <row r="1146" spans="1:4" x14ac:dyDescent="0.3">
      <c r="A1146" s="1">
        <v>37894</v>
      </c>
      <c r="B1146" t="s">
        <v>17</v>
      </c>
      <c r="C1146">
        <v>1059</v>
      </c>
      <c r="D1146" t="s">
        <v>18</v>
      </c>
    </row>
    <row r="1147" spans="1:4" x14ac:dyDescent="0.3">
      <c r="A1147" s="1">
        <v>37894</v>
      </c>
      <c r="B1147" t="s">
        <v>17</v>
      </c>
      <c r="C1147">
        <v>869</v>
      </c>
      <c r="D1147" t="s">
        <v>19</v>
      </c>
    </row>
    <row r="1148" spans="1:4" x14ac:dyDescent="0.3">
      <c r="A1148" s="1">
        <v>37894</v>
      </c>
      <c r="B1148" t="s">
        <v>17</v>
      </c>
      <c r="C1148">
        <v>581</v>
      </c>
      <c r="D1148" t="s">
        <v>20</v>
      </c>
    </row>
    <row r="1149" spans="1:4" x14ac:dyDescent="0.3">
      <c r="A1149" s="1">
        <v>37894</v>
      </c>
      <c r="B1149" t="s">
        <v>17</v>
      </c>
      <c r="C1149">
        <v>2825</v>
      </c>
      <c r="D1149" t="s">
        <v>21</v>
      </c>
    </row>
    <row r="1150" spans="1:4" x14ac:dyDescent="0.3">
      <c r="A1150" s="1">
        <v>37894</v>
      </c>
      <c r="B1150" t="s">
        <v>17</v>
      </c>
      <c r="C1150">
        <v>1244</v>
      </c>
      <c r="D1150" t="s">
        <v>22</v>
      </c>
    </row>
    <row r="1151" spans="1:4" x14ac:dyDescent="0.3">
      <c r="A1151" s="1">
        <v>37894</v>
      </c>
      <c r="B1151" t="s">
        <v>17</v>
      </c>
      <c r="C1151">
        <v>4943</v>
      </c>
      <c r="D1151" t="s">
        <v>23</v>
      </c>
    </row>
    <row r="1152" spans="1:4" x14ac:dyDescent="0.3">
      <c r="A1152" s="1">
        <v>37894</v>
      </c>
      <c r="B1152" t="s">
        <v>17</v>
      </c>
      <c r="C1152">
        <v>46</v>
      </c>
      <c r="D1152" t="s">
        <v>28</v>
      </c>
    </row>
    <row r="1153" spans="1:4" x14ac:dyDescent="0.3">
      <c r="A1153" s="1">
        <v>37894</v>
      </c>
      <c r="B1153" t="s">
        <v>17</v>
      </c>
      <c r="C1153">
        <v>1725</v>
      </c>
      <c r="D1153" t="s">
        <v>24</v>
      </c>
    </row>
    <row r="1154" spans="1:4" x14ac:dyDescent="0.3">
      <c r="A1154" s="1">
        <v>37894</v>
      </c>
      <c r="B1154" t="s">
        <v>17</v>
      </c>
      <c r="C1154">
        <v>2254</v>
      </c>
      <c r="D1154" t="s">
        <v>25</v>
      </c>
    </row>
    <row r="1155" spans="1:4" x14ac:dyDescent="0.3">
      <c r="A1155" s="1">
        <v>37894</v>
      </c>
      <c r="B1155" t="s">
        <v>17</v>
      </c>
      <c r="C1155">
        <v>1035</v>
      </c>
      <c r="D1155" t="s">
        <v>26</v>
      </c>
    </row>
    <row r="1156" spans="1:4" x14ac:dyDescent="0.3">
      <c r="A1156" s="1">
        <v>37894</v>
      </c>
      <c r="B1156" t="s">
        <v>17</v>
      </c>
      <c r="C1156">
        <v>2681</v>
      </c>
      <c r="D1156" t="s">
        <v>27</v>
      </c>
    </row>
    <row r="1157" spans="1:4" x14ac:dyDescent="0.3">
      <c r="A1157" s="1">
        <v>37986</v>
      </c>
      <c r="B1157" t="s">
        <v>17</v>
      </c>
      <c r="C1157">
        <v>1095</v>
      </c>
      <c r="D1157" t="s">
        <v>18</v>
      </c>
    </row>
    <row r="1158" spans="1:4" x14ac:dyDescent="0.3">
      <c r="A1158" s="1">
        <v>37986</v>
      </c>
      <c r="B1158" t="s">
        <v>17</v>
      </c>
      <c r="C1158">
        <v>883</v>
      </c>
      <c r="D1158" t="s">
        <v>19</v>
      </c>
    </row>
    <row r="1159" spans="1:4" x14ac:dyDescent="0.3">
      <c r="A1159" s="1">
        <v>37986</v>
      </c>
      <c r="B1159" t="s">
        <v>17</v>
      </c>
      <c r="C1159">
        <v>581</v>
      </c>
      <c r="D1159" t="s">
        <v>20</v>
      </c>
    </row>
    <row r="1160" spans="1:4" x14ac:dyDescent="0.3">
      <c r="A1160" s="1">
        <v>37986</v>
      </c>
      <c r="B1160" t="s">
        <v>17</v>
      </c>
      <c r="C1160">
        <v>3000</v>
      </c>
      <c r="D1160" t="s">
        <v>21</v>
      </c>
    </row>
    <row r="1161" spans="1:4" x14ac:dyDescent="0.3">
      <c r="A1161" s="1">
        <v>37986</v>
      </c>
      <c r="B1161" t="s">
        <v>17</v>
      </c>
      <c r="C1161">
        <v>1257</v>
      </c>
      <c r="D1161" t="s">
        <v>22</v>
      </c>
    </row>
    <row r="1162" spans="1:4" x14ac:dyDescent="0.3">
      <c r="A1162" s="1">
        <v>37986</v>
      </c>
      <c r="B1162" t="s">
        <v>17</v>
      </c>
      <c r="C1162">
        <v>5071</v>
      </c>
      <c r="D1162" t="s">
        <v>23</v>
      </c>
    </row>
    <row r="1163" spans="1:4" x14ac:dyDescent="0.3">
      <c r="A1163" s="1">
        <v>37986</v>
      </c>
      <c r="B1163" t="s">
        <v>17</v>
      </c>
      <c r="C1163">
        <v>57</v>
      </c>
      <c r="D1163" t="s">
        <v>28</v>
      </c>
    </row>
    <row r="1164" spans="1:4" x14ac:dyDescent="0.3">
      <c r="A1164" s="1">
        <v>37986</v>
      </c>
      <c r="B1164" t="s">
        <v>17</v>
      </c>
      <c r="C1164">
        <v>1756</v>
      </c>
      <c r="D1164" t="s">
        <v>24</v>
      </c>
    </row>
    <row r="1165" spans="1:4" x14ac:dyDescent="0.3">
      <c r="A1165" s="1">
        <v>37986</v>
      </c>
      <c r="B1165" t="s">
        <v>17</v>
      </c>
      <c r="C1165">
        <v>2285</v>
      </c>
      <c r="D1165" t="s">
        <v>25</v>
      </c>
    </row>
    <row r="1166" spans="1:4" x14ac:dyDescent="0.3">
      <c r="A1166" s="1">
        <v>37986</v>
      </c>
      <c r="B1166" t="s">
        <v>17</v>
      </c>
      <c r="C1166">
        <v>1007</v>
      </c>
      <c r="D1166" t="s">
        <v>26</v>
      </c>
    </row>
    <row r="1167" spans="1:4" x14ac:dyDescent="0.3">
      <c r="A1167" s="1">
        <v>37986</v>
      </c>
      <c r="B1167" t="s">
        <v>17</v>
      </c>
      <c r="C1167">
        <v>2794</v>
      </c>
      <c r="D1167" t="s">
        <v>27</v>
      </c>
    </row>
    <row r="1168" spans="1:4" x14ac:dyDescent="0.3">
      <c r="A1168" s="1">
        <v>38077</v>
      </c>
      <c r="B1168" t="s">
        <v>17</v>
      </c>
      <c r="C1168">
        <v>1098</v>
      </c>
      <c r="D1168" t="s">
        <v>18</v>
      </c>
    </row>
    <row r="1169" spans="1:4" x14ac:dyDescent="0.3">
      <c r="A1169" s="1">
        <v>38077</v>
      </c>
      <c r="B1169" t="s">
        <v>17</v>
      </c>
      <c r="C1169">
        <v>898</v>
      </c>
      <c r="D1169" t="s">
        <v>19</v>
      </c>
    </row>
    <row r="1170" spans="1:4" x14ac:dyDescent="0.3">
      <c r="A1170" s="1">
        <v>38077</v>
      </c>
      <c r="B1170" t="s">
        <v>17</v>
      </c>
      <c r="C1170">
        <v>594</v>
      </c>
      <c r="D1170" t="s">
        <v>20</v>
      </c>
    </row>
    <row r="1171" spans="1:4" x14ac:dyDescent="0.3">
      <c r="A1171" s="1">
        <v>38077</v>
      </c>
      <c r="B1171" t="s">
        <v>17</v>
      </c>
      <c r="C1171">
        <v>3063</v>
      </c>
      <c r="D1171" t="s">
        <v>21</v>
      </c>
    </row>
    <row r="1172" spans="1:4" x14ac:dyDescent="0.3">
      <c r="A1172" s="1">
        <v>38077</v>
      </c>
      <c r="B1172" t="s">
        <v>17</v>
      </c>
      <c r="C1172">
        <v>1291</v>
      </c>
      <c r="D1172" t="s">
        <v>22</v>
      </c>
    </row>
    <row r="1173" spans="1:4" x14ac:dyDescent="0.3">
      <c r="A1173" s="1">
        <v>38077</v>
      </c>
      <c r="B1173" t="s">
        <v>17</v>
      </c>
      <c r="C1173">
        <v>5156</v>
      </c>
      <c r="D1173" t="s">
        <v>23</v>
      </c>
    </row>
    <row r="1174" spans="1:4" x14ac:dyDescent="0.3">
      <c r="A1174" s="1">
        <v>38077</v>
      </c>
      <c r="B1174" t="s">
        <v>17</v>
      </c>
      <c r="C1174">
        <v>74</v>
      </c>
      <c r="D1174" t="s">
        <v>28</v>
      </c>
    </row>
    <row r="1175" spans="1:4" x14ac:dyDescent="0.3">
      <c r="A1175" s="1">
        <v>38077</v>
      </c>
      <c r="B1175" t="s">
        <v>17</v>
      </c>
      <c r="C1175">
        <v>1821</v>
      </c>
      <c r="D1175" t="s">
        <v>24</v>
      </c>
    </row>
    <row r="1176" spans="1:4" x14ac:dyDescent="0.3">
      <c r="A1176" s="1">
        <v>38077</v>
      </c>
      <c r="B1176" t="s">
        <v>17</v>
      </c>
      <c r="C1176">
        <v>2330</v>
      </c>
      <c r="D1176" t="s">
        <v>25</v>
      </c>
    </row>
    <row r="1177" spans="1:4" x14ac:dyDescent="0.3">
      <c r="A1177" s="1">
        <v>38077</v>
      </c>
      <c r="B1177" t="s">
        <v>17</v>
      </c>
      <c r="C1177">
        <v>1039</v>
      </c>
      <c r="D1177" t="s">
        <v>26</v>
      </c>
    </row>
    <row r="1178" spans="1:4" x14ac:dyDescent="0.3">
      <c r="A1178" s="1">
        <v>38077</v>
      </c>
      <c r="B1178" t="s">
        <v>17</v>
      </c>
      <c r="C1178">
        <v>2895</v>
      </c>
      <c r="D1178" t="s">
        <v>27</v>
      </c>
    </row>
    <row r="1179" spans="1:4" x14ac:dyDescent="0.3">
      <c r="A1179" s="1">
        <v>38168</v>
      </c>
      <c r="B1179" t="s">
        <v>17</v>
      </c>
      <c r="C1179">
        <v>1088</v>
      </c>
      <c r="D1179" t="s">
        <v>18</v>
      </c>
    </row>
    <row r="1180" spans="1:4" x14ac:dyDescent="0.3">
      <c r="A1180" s="1">
        <v>38168</v>
      </c>
      <c r="B1180" t="s">
        <v>17</v>
      </c>
      <c r="C1180">
        <v>877</v>
      </c>
      <c r="D1180" t="s">
        <v>19</v>
      </c>
    </row>
    <row r="1181" spans="1:4" x14ac:dyDescent="0.3">
      <c r="A1181" s="1">
        <v>38168</v>
      </c>
      <c r="B1181" t="s">
        <v>17</v>
      </c>
      <c r="C1181">
        <v>600</v>
      </c>
      <c r="D1181" t="s">
        <v>20</v>
      </c>
    </row>
    <row r="1182" spans="1:4" x14ac:dyDescent="0.3">
      <c r="A1182" s="1">
        <v>38168</v>
      </c>
      <c r="B1182" t="s">
        <v>17</v>
      </c>
      <c r="C1182">
        <v>3022</v>
      </c>
      <c r="D1182" t="s">
        <v>21</v>
      </c>
    </row>
    <row r="1183" spans="1:4" x14ac:dyDescent="0.3">
      <c r="A1183" s="1">
        <v>38168</v>
      </c>
      <c r="B1183" t="s">
        <v>17</v>
      </c>
      <c r="C1183">
        <v>1299</v>
      </c>
      <c r="D1183" t="s">
        <v>22</v>
      </c>
    </row>
    <row r="1184" spans="1:4" x14ac:dyDescent="0.3">
      <c r="A1184" s="1">
        <v>38168</v>
      </c>
      <c r="B1184" t="s">
        <v>17</v>
      </c>
      <c r="C1184">
        <v>5239</v>
      </c>
      <c r="D1184" t="s">
        <v>23</v>
      </c>
    </row>
    <row r="1185" spans="1:4" x14ac:dyDescent="0.3">
      <c r="A1185" s="1">
        <v>38168</v>
      </c>
      <c r="B1185" t="s">
        <v>17</v>
      </c>
      <c r="C1185">
        <v>109</v>
      </c>
      <c r="D1185" t="s">
        <v>28</v>
      </c>
    </row>
    <row r="1186" spans="1:4" x14ac:dyDescent="0.3">
      <c r="A1186" s="1">
        <v>38168</v>
      </c>
      <c r="B1186" t="s">
        <v>17</v>
      </c>
      <c r="C1186">
        <v>1826</v>
      </c>
      <c r="D1186" t="s">
        <v>24</v>
      </c>
    </row>
    <row r="1187" spans="1:4" x14ac:dyDescent="0.3">
      <c r="A1187" s="1">
        <v>38168</v>
      </c>
      <c r="B1187" t="s">
        <v>17</v>
      </c>
      <c r="C1187">
        <v>2318</v>
      </c>
      <c r="D1187" t="s">
        <v>25</v>
      </c>
    </row>
    <row r="1188" spans="1:4" x14ac:dyDescent="0.3">
      <c r="A1188" s="1">
        <v>38168</v>
      </c>
      <c r="B1188" t="s">
        <v>17</v>
      </c>
      <c r="C1188">
        <v>1055</v>
      </c>
      <c r="D1188" t="s">
        <v>26</v>
      </c>
    </row>
    <row r="1189" spans="1:4" x14ac:dyDescent="0.3">
      <c r="A1189" s="1">
        <v>38168</v>
      </c>
      <c r="B1189" t="s">
        <v>17</v>
      </c>
      <c r="C1189">
        <v>2866</v>
      </c>
      <c r="D1189" t="s">
        <v>27</v>
      </c>
    </row>
    <row r="1190" spans="1:4" x14ac:dyDescent="0.3">
      <c r="A1190" s="1">
        <v>38260</v>
      </c>
      <c r="B1190" t="s">
        <v>17</v>
      </c>
      <c r="C1190">
        <v>1085</v>
      </c>
      <c r="D1190" t="s">
        <v>18</v>
      </c>
    </row>
    <row r="1191" spans="1:4" x14ac:dyDescent="0.3">
      <c r="A1191" s="1">
        <v>38260</v>
      </c>
      <c r="B1191" t="s">
        <v>17</v>
      </c>
      <c r="C1191">
        <v>952</v>
      </c>
      <c r="D1191" t="s">
        <v>19</v>
      </c>
    </row>
    <row r="1192" spans="1:4" x14ac:dyDescent="0.3">
      <c r="A1192" s="1">
        <v>38260</v>
      </c>
      <c r="B1192" t="s">
        <v>17</v>
      </c>
      <c r="C1192">
        <v>612</v>
      </c>
      <c r="D1192" t="s">
        <v>20</v>
      </c>
    </row>
    <row r="1193" spans="1:4" x14ac:dyDescent="0.3">
      <c r="A1193" s="1">
        <v>38260</v>
      </c>
      <c r="B1193" t="s">
        <v>17</v>
      </c>
      <c r="C1193">
        <v>3058</v>
      </c>
      <c r="D1193" t="s">
        <v>21</v>
      </c>
    </row>
    <row r="1194" spans="1:4" x14ac:dyDescent="0.3">
      <c r="A1194" s="1">
        <v>38260</v>
      </c>
      <c r="B1194" t="s">
        <v>17</v>
      </c>
      <c r="C1194">
        <v>1337</v>
      </c>
      <c r="D1194" t="s">
        <v>22</v>
      </c>
    </row>
    <row r="1195" spans="1:4" x14ac:dyDescent="0.3">
      <c r="A1195" s="1">
        <v>38260</v>
      </c>
      <c r="B1195" t="s">
        <v>17</v>
      </c>
      <c r="C1195">
        <v>5341</v>
      </c>
      <c r="D1195" t="s">
        <v>23</v>
      </c>
    </row>
    <row r="1196" spans="1:4" x14ac:dyDescent="0.3">
      <c r="A1196" s="1">
        <v>38260</v>
      </c>
      <c r="B1196" t="s">
        <v>17</v>
      </c>
      <c r="C1196">
        <v>131</v>
      </c>
      <c r="D1196" t="s">
        <v>28</v>
      </c>
    </row>
    <row r="1197" spans="1:4" x14ac:dyDescent="0.3">
      <c r="A1197" s="1">
        <v>38260</v>
      </c>
      <c r="B1197" t="s">
        <v>17</v>
      </c>
      <c r="C1197">
        <v>1851</v>
      </c>
      <c r="D1197" t="s">
        <v>24</v>
      </c>
    </row>
    <row r="1198" spans="1:4" x14ac:dyDescent="0.3">
      <c r="A1198" s="1">
        <v>38260</v>
      </c>
      <c r="B1198" t="s">
        <v>17</v>
      </c>
      <c r="C1198">
        <v>2402</v>
      </c>
      <c r="D1198" t="s">
        <v>25</v>
      </c>
    </row>
    <row r="1199" spans="1:4" x14ac:dyDescent="0.3">
      <c r="A1199" s="1">
        <v>38260</v>
      </c>
      <c r="B1199" t="s">
        <v>17</v>
      </c>
      <c r="C1199">
        <v>1185</v>
      </c>
      <c r="D1199" t="s">
        <v>26</v>
      </c>
    </row>
    <row r="1200" spans="1:4" x14ac:dyDescent="0.3">
      <c r="A1200" s="1">
        <v>38260</v>
      </c>
      <c r="B1200" t="s">
        <v>17</v>
      </c>
      <c r="C1200">
        <v>2940</v>
      </c>
      <c r="D1200" t="s">
        <v>27</v>
      </c>
    </row>
    <row r="1201" spans="1:4" x14ac:dyDescent="0.3">
      <c r="A1201" s="1">
        <v>38352</v>
      </c>
      <c r="B1201" t="s">
        <v>17</v>
      </c>
      <c r="C1201">
        <v>1095</v>
      </c>
      <c r="D1201" t="s">
        <v>18</v>
      </c>
    </row>
    <row r="1202" spans="1:4" x14ac:dyDescent="0.3">
      <c r="A1202" s="1">
        <v>38352</v>
      </c>
      <c r="B1202" t="s">
        <v>17</v>
      </c>
      <c r="C1202">
        <v>943</v>
      </c>
      <c r="D1202" t="s">
        <v>19</v>
      </c>
    </row>
    <row r="1203" spans="1:4" x14ac:dyDescent="0.3">
      <c r="A1203" s="1">
        <v>38352</v>
      </c>
      <c r="B1203" t="s">
        <v>17</v>
      </c>
      <c r="C1203">
        <v>633</v>
      </c>
      <c r="D1203" t="s">
        <v>20</v>
      </c>
    </row>
    <row r="1204" spans="1:4" x14ac:dyDescent="0.3">
      <c r="A1204" s="1">
        <v>38352</v>
      </c>
      <c r="B1204" t="s">
        <v>17</v>
      </c>
      <c r="C1204">
        <v>3065</v>
      </c>
      <c r="D1204" t="s">
        <v>21</v>
      </c>
    </row>
    <row r="1205" spans="1:4" x14ac:dyDescent="0.3">
      <c r="A1205" s="1">
        <v>38352</v>
      </c>
      <c r="B1205" t="s">
        <v>17</v>
      </c>
      <c r="C1205">
        <v>1364</v>
      </c>
      <c r="D1205" t="s">
        <v>22</v>
      </c>
    </row>
    <row r="1206" spans="1:4" x14ac:dyDescent="0.3">
      <c r="A1206" s="1">
        <v>38352</v>
      </c>
      <c r="B1206" t="s">
        <v>17</v>
      </c>
      <c r="C1206">
        <v>5412</v>
      </c>
      <c r="D1206" t="s">
        <v>23</v>
      </c>
    </row>
    <row r="1207" spans="1:4" x14ac:dyDescent="0.3">
      <c r="A1207" s="1">
        <v>38352</v>
      </c>
      <c r="B1207" t="s">
        <v>17</v>
      </c>
      <c r="C1207">
        <v>158</v>
      </c>
      <c r="D1207" t="s">
        <v>28</v>
      </c>
    </row>
    <row r="1208" spans="1:4" x14ac:dyDescent="0.3">
      <c r="A1208" s="1">
        <v>38352</v>
      </c>
      <c r="B1208" t="s">
        <v>17</v>
      </c>
      <c r="C1208">
        <v>1864</v>
      </c>
      <c r="D1208" t="s">
        <v>24</v>
      </c>
    </row>
    <row r="1209" spans="1:4" x14ac:dyDescent="0.3">
      <c r="A1209" s="1">
        <v>38352</v>
      </c>
      <c r="B1209" t="s">
        <v>17</v>
      </c>
      <c r="C1209">
        <v>2380</v>
      </c>
      <c r="D1209" t="s">
        <v>25</v>
      </c>
    </row>
    <row r="1210" spans="1:4" x14ac:dyDescent="0.3">
      <c r="A1210" s="1">
        <v>38352</v>
      </c>
      <c r="B1210" t="s">
        <v>17</v>
      </c>
      <c r="C1210">
        <v>1258</v>
      </c>
      <c r="D1210" t="s">
        <v>26</v>
      </c>
    </row>
    <row r="1211" spans="1:4" x14ac:dyDescent="0.3">
      <c r="A1211" s="1">
        <v>38352</v>
      </c>
      <c r="B1211" t="s">
        <v>17</v>
      </c>
      <c r="C1211">
        <v>3037</v>
      </c>
      <c r="D1211" t="s">
        <v>27</v>
      </c>
    </row>
    <row r="1212" spans="1:4" x14ac:dyDescent="0.3">
      <c r="A1212" s="1">
        <v>38442</v>
      </c>
      <c r="B1212" t="s">
        <v>17</v>
      </c>
      <c r="C1212">
        <v>1116</v>
      </c>
      <c r="D1212" t="s">
        <v>18</v>
      </c>
    </row>
    <row r="1213" spans="1:4" x14ac:dyDescent="0.3">
      <c r="A1213" s="1">
        <v>38442</v>
      </c>
      <c r="B1213" t="s">
        <v>17</v>
      </c>
      <c r="C1213">
        <v>952</v>
      </c>
      <c r="D1213" t="s">
        <v>19</v>
      </c>
    </row>
    <row r="1214" spans="1:4" x14ac:dyDescent="0.3">
      <c r="A1214" s="1">
        <v>38442</v>
      </c>
      <c r="B1214" t="s">
        <v>17</v>
      </c>
      <c r="C1214">
        <v>647</v>
      </c>
      <c r="D1214" t="s">
        <v>20</v>
      </c>
    </row>
    <row r="1215" spans="1:4" x14ac:dyDescent="0.3">
      <c r="A1215" s="1">
        <v>38442</v>
      </c>
      <c r="B1215" t="s">
        <v>17</v>
      </c>
      <c r="C1215">
        <v>3108</v>
      </c>
      <c r="D1215" t="s">
        <v>21</v>
      </c>
    </row>
    <row r="1216" spans="1:4" x14ac:dyDescent="0.3">
      <c r="A1216" s="1">
        <v>38442</v>
      </c>
      <c r="B1216" t="s">
        <v>17</v>
      </c>
      <c r="C1216">
        <v>1368</v>
      </c>
      <c r="D1216" t="s">
        <v>22</v>
      </c>
    </row>
    <row r="1217" spans="1:4" x14ac:dyDescent="0.3">
      <c r="A1217" s="1">
        <v>38442</v>
      </c>
      <c r="B1217" t="s">
        <v>17</v>
      </c>
      <c r="C1217">
        <v>5486</v>
      </c>
      <c r="D1217" t="s">
        <v>23</v>
      </c>
    </row>
    <row r="1218" spans="1:4" x14ac:dyDescent="0.3">
      <c r="A1218" s="1">
        <v>38442</v>
      </c>
      <c r="B1218" t="s">
        <v>17</v>
      </c>
      <c r="C1218">
        <v>180</v>
      </c>
      <c r="D1218" t="s">
        <v>28</v>
      </c>
    </row>
    <row r="1219" spans="1:4" x14ac:dyDescent="0.3">
      <c r="A1219" s="1">
        <v>38442</v>
      </c>
      <c r="B1219" t="s">
        <v>17</v>
      </c>
      <c r="C1219">
        <v>1878</v>
      </c>
      <c r="D1219" t="s">
        <v>24</v>
      </c>
    </row>
    <row r="1220" spans="1:4" x14ac:dyDescent="0.3">
      <c r="A1220" s="1">
        <v>38442</v>
      </c>
      <c r="B1220" t="s">
        <v>17</v>
      </c>
      <c r="C1220">
        <v>2402</v>
      </c>
      <c r="D1220" t="s">
        <v>25</v>
      </c>
    </row>
    <row r="1221" spans="1:4" x14ac:dyDescent="0.3">
      <c r="A1221" s="1">
        <v>38442</v>
      </c>
      <c r="B1221" t="s">
        <v>17</v>
      </c>
      <c r="C1221">
        <v>1223</v>
      </c>
      <c r="D1221" t="s">
        <v>26</v>
      </c>
    </row>
    <row r="1222" spans="1:4" x14ac:dyDescent="0.3">
      <c r="A1222" s="1">
        <v>38442</v>
      </c>
      <c r="B1222" t="s">
        <v>17</v>
      </c>
      <c r="C1222">
        <v>3035</v>
      </c>
      <c r="D1222" t="s">
        <v>27</v>
      </c>
    </row>
    <row r="1223" spans="1:4" x14ac:dyDescent="0.3">
      <c r="A1223" s="1">
        <v>38533</v>
      </c>
      <c r="B1223" t="s">
        <v>17</v>
      </c>
      <c r="C1223">
        <v>1141</v>
      </c>
      <c r="D1223" t="s">
        <v>18</v>
      </c>
    </row>
    <row r="1224" spans="1:4" x14ac:dyDescent="0.3">
      <c r="A1224" s="1">
        <v>38533</v>
      </c>
      <c r="B1224" t="s">
        <v>17</v>
      </c>
      <c r="C1224">
        <v>985</v>
      </c>
      <c r="D1224" t="s">
        <v>19</v>
      </c>
    </row>
    <row r="1225" spans="1:4" x14ac:dyDescent="0.3">
      <c r="A1225" s="1">
        <v>38533</v>
      </c>
      <c r="B1225" t="s">
        <v>17</v>
      </c>
      <c r="C1225">
        <v>649</v>
      </c>
      <c r="D1225" t="s">
        <v>20</v>
      </c>
    </row>
    <row r="1226" spans="1:4" x14ac:dyDescent="0.3">
      <c r="A1226" s="1">
        <v>38533</v>
      </c>
      <c r="B1226" t="s">
        <v>17</v>
      </c>
      <c r="C1226">
        <v>3152</v>
      </c>
      <c r="D1226" t="s">
        <v>21</v>
      </c>
    </row>
    <row r="1227" spans="1:4" x14ac:dyDescent="0.3">
      <c r="A1227" s="1">
        <v>38533</v>
      </c>
      <c r="B1227" t="s">
        <v>17</v>
      </c>
      <c r="C1227">
        <v>1409</v>
      </c>
      <c r="D1227" t="s">
        <v>22</v>
      </c>
    </row>
    <row r="1228" spans="1:4" x14ac:dyDescent="0.3">
      <c r="A1228" s="1">
        <v>38533</v>
      </c>
      <c r="B1228" t="s">
        <v>17</v>
      </c>
      <c r="C1228">
        <v>5597</v>
      </c>
      <c r="D1228" t="s">
        <v>23</v>
      </c>
    </row>
    <row r="1229" spans="1:4" x14ac:dyDescent="0.3">
      <c r="A1229" s="1">
        <v>38533</v>
      </c>
      <c r="B1229" t="s">
        <v>17</v>
      </c>
      <c r="C1229">
        <v>179</v>
      </c>
      <c r="D1229" t="s">
        <v>28</v>
      </c>
    </row>
    <row r="1230" spans="1:4" x14ac:dyDescent="0.3">
      <c r="A1230" s="1">
        <v>38533</v>
      </c>
      <c r="B1230" t="s">
        <v>17</v>
      </c>
      <c r="C1230">
        <v>1903</v>
      </c>
      <c r="D1230" t="s">
        <v>24</v>
      </c>
    </row>
    <row r="1231" spans="1:4" x14ac:dyDescent="0.3">
      <c r="A1231" s="1">
        <v>38533</v>
      </c>
      <c r="B1231" t="s">
        <v>17</v>
      </c>
      <c r="C1231">
        <v>2464</v>
      </c>
      <c r="D1231" t="s">
        <v>25</v>
      </c>
    </row>
    <row r="1232" spans="1:4" x14ac:dyDescent="0.3">
      <c r="A1232" s="1">
        <v>38533</v>
      </c>
      <c r="B1232" t="s">
        <v>17</v>
      </c>
      <c r="C1232">
        <v>1322</v>
      </c>
      <c r="D1232" t="s">
        <v>26</v>
      </c>
    </row>
    <row r="1233" spans="1:4" x14ac:dyDescent="0.3">
      <c r="A1233" s="1">
        <v>38533</v>
      </c>
      <c r="B1233" t="s">
        <v>17</v>
      </c>
      <c r="C1233">
        <v>3159</v>
      </c>
      <c r="D1233" t="s">
        <v>27</v>
      </c>
    </row>
    <row r="1234" spans="1:4" x14ac:dyDescent="0.3">
      <c r="A1234" s="1">
        <v>38625</v>
      </c>
      <c r="B1234" t="s">
        <v>17</v>
      </c>
      <c r="C1234">
        <v>1165</v>
      </c>
      <c r="D1234" t="s">
        <v>18</v>
      </c>
    </row>
    <row r="1235" spans="1:4" x14ac:dyDescent="0.3">
      <c r="A1235" s="1">
        <v>38625</v>
      </c>
      <c r="B1235" t="s">
        <v>17</v>
      </c>
      <c r="C1235">
        <v>998</v>
      </c>
      <c r="D1235" t="s">
        <v>19</v>
      </c>
    </row>
    <row r="1236" spans="1:4" x14ac:dyDescent="0.3">
      <c r="A1236" s="1">
        <v>38625</v>
      </c>
      <c r="B1236" t="s">
        <v>17</v>
      </c>
      <c r="C1236">
        <v>670</v>
      </c>
      <c r="D1236" t="s">
        <v>20</v>
      </c>
    </row>
    <row r="1237" spans="1:4" x14ac:dyDescent="0.3">
      <c r="A1237" s="1">
        <v>38625</v>
      </c>
      <c r="B1237" t="s">
        <v>17</v>
      </c>
      <c r="C1237">
        <v>3221</v>
      </c>
      <c r="D1237" t="s">
        <v>21</v>
      </c>
    </row>
    <row r="1238" spans="1:4" x14ac:dyDescent="0.3">
      <c r="A1238" s="1">
        <v>38625</v>
      </c>
      <c r="B1238" t="s">
        <v>17</v>
      </c>
      <c r="C1238">
        <v>1424</v>
      </c>
      <c r="D1238" t="s">
        <v>22</v>
      </c>
    </row>
    <row r="1239" spans="1:4" x14ac:dyDescent="0.3">
      <c r="A1239" s="1">
        <v>38625</v>
      </c>
      <c r="B1239" t="s">
        <v>17</v>
      </c>
      <c r="C1239">
        <v>5639</v>
      </c>
      <c r="D1239" t="s">
        <v>23</v>
      </c>
    </row>
    <row r="1240" spans="1:4" x14ac:dyDescent="0.3">
      <c r="A1240" s="1">
        <v>38625</v>
      </c>
      <c r="B1240" t="s">
        <v>17</v>
      </c>
      <c r="C1240">
        <v>194</v>
      </c>
      <c r="D1240" t="s">
        <v>28</v>
      </c>
    </row>
    <row r="1241" spans="1:4" x14ac:dyDescent="0.3">
      <c r="A1241" s="1">
        <v>38625</v>
      </c>
      <c r="B1241" t="s">
        <v>17</v>
      </c>
      <c r="C1241">
        <v>1942</v>
      </c>
      <c r="D1241" t="s">
        <v>24</v>
      </c>
    </row>
    <row r="1242" spans="1:4" x14ac:dyDescent="0.3">
      <c r="A1242" s="1">
        <v>38625</v>
      </c>
      <c r="B1242" t="s">
        <v>17</v>
      </c>
      <c r="C1242">
        <v>2442</v>
      </c>
      <c r="D1242" t="s">
        <v>25</v>
      </c>
    </row>
    <row r="1243" spans="1:4" x14ac:dyDescent="0.3">
      <c r="A1243" s="1">
        <v>38625</v>
      </c>
      <c r="B1243" t="s">
        <v>17</v>
      </c>
      <c r="C1243">
        <v>1226</v>
      </c>
      <c r="D1243" t="s">
        <v>26</v>
      </c>
    </row>
    <row r="1244" spans="1:4" x14ac:dyDescent="0.3">
      <c r="A1244" s="1">
        <v>38625</v>
      </c>
      <c r="B1244" t="s">
        <v>17</v>
      </c>
      <c r="C1244">
        <v>3215</v>
      </c>
      <c r="D1244" t="s">
        <v>27</v>
      </c>
    </row>
    <row r="1245" spans="1:4" x14ac:dyDescent="0.3">
      <c r="A1245" s="1">
        <v>38717</v>
      </c>
      <c r="B1245" t="s">
        <v>17</v>
      </c>
      <c r="C1245">
        <v>1184</v>
      </c>
      <c r="D1245" t="s">
        <v>18</v>
      </c>
    </row>
    <row r="1246" spans="1:4" x14ac:dyDescent="0.3">
      <c r="A1246" s="1">
        <v>38717</v>
      </c>
      <c r="B1246" t="s">
        <v>17</v>
      </c>
      <c r="C1246">
        <v>1038</v>
      </c>
      <c r="D1246" t="s">
        <v>19</v>
      </c>
    </row>
    <row r="1247" spans="1:4" x14ac:dyDescent="0.3">
      <c r="A1247" s="1">
        <v>38717</v>
      </c>
      <c r="B1247" t="s">
        <v>17</v>
      </c>
      <c r="C1247">
        <v>686</v>
      </c>
      <c r="D1247" t="s">
        <v>20</v>
      </c>
    </row>
    <row r="1248" spans="1:4" x14ac:dyDescent="0.3">
      <c r="A1248" s="1">
        <v>38717</v>
      </c>
      <c r="B1248" t="s">
        <v>17</v>
      </c>
      <c r="C1248">
        <v>3267</v>
      </c>
      <c r="D1248" t="s">
        <v>21</v>
      </c>
    </row>
    <row r="1249" spans="1:4" x14ac:dyDescent="0.3">
      <c r="A1249" s="1">
        <v>38717</v>
      </c>
      <c r="B1249" t="s">
        <v>17</v>
      </c>
      <c r="C1249">
        <v>1436</v>
      </c>
      <c r="D1249" t="s">
        <v>22</v>
      </c>
    </row>
    <row r="1250" spans="1:4" x14ac:dyDescent="0.3">
      <c r="A1250" s="1">
        <v>38717</v>
      </c>
      <c r="B1250" t="s">
        <v>17</v>
      </c>
      <c r="C1250">
        <v>5734</v>
      </c>
      <c r="D1250" t="s">
        <v>23</v>
      </c>
    </row>
    <row r="1251" spans="1:4" x14ac:dyDescent="0.3">
      <c r="A1251" s="1">
        <v>38717</v>
      </c>
      <c r="B1251" t="s">
        <v>17</v>
      </c>
      <c r="C1251">
        <v>196</v>
      </c>
      <c r="D1251" t="s">
        <v>28</v>
      </c>
    </row>
    <row r="1252" spans="1:4" x14ac:dyDescent="0.3">
      <c r="A1252" s="1">
        <v>38717</v>
      </c>
      <c r="B1252" t="s">
        <v>17</v>
      </c>
      <c r="C1252">
        <v>1968</v>
      </c>
      <c r="D1252" t="s">
        <v>24</v>
      </c>
    </row>
    <row r="1253" spans="1:4" x14ac:dyDescent="0.3">
      <c r="A1253" s="1">
        <v>38717</v>
      </c>
      <c r="B1253" t="s">
        <v>17</v>
      </c>
      <c r="C1253">
        <v>2492</v>
      </c>
      <c r="D1253" t="s">
        <v>25</v>
      </c>
    </row>
    <row r="1254" spans="1:4" x14ac:dyDescent="0.3">
      <c r="A1254" s="1">
        <v>38717</v>
      </c>
      <c r="B1254" t="s">
        <v>17</v>
      </c>
      <c r="C1254">
        <v>1340</v>
      </c>
      <c r="D1254" t="s">
        <v>26</v>
      </c>
    </row>
    <row r="1255" spans="1:4" x14ac:dyDescent="0.3">
      <c r="A1255" s="1">
        <v>38717</v>
      </c>
      <c r="B1255" t="s">
        <v>17</v>
      </c>
      <c r="C1255">
        <v>3223</v>
      </c>
      <c r="D1255" t="s">
        <v>27</v>
      </c>
    </row>
    <row r="1256" spans="1:4" x14ac:dyDescent="0.3">
      <c r="A1256" s="1">
        <v>38807</v>
      </c>
      <c r="B1256" t="s">
        <v>17</v>
      </c>
      <c r="C1256">
        <v>1223</v>
      </c>
      <c r="D1256" t="s">
        <v>18</v>
      </c>
    </row>
    <row r="1257" spans="1:4" x14ac:dyDescent="0.3">
      <c r="A1257" s="1">
        <v>38807</v>
      </c>
      <c r="B1257" t="s">
        <v>17</v>
      </c>
      <c r="C1257">
        <v>1030</v>
      </c>
      <c r="D1257" t="s">
        <v>19</v>
      </c>
    </row>
    <row r="1258" spans="1:4" x14ac:dyDescent="0.3">
      <c r="A1258" s="1">
        <v>38807</v>
      </c>
      <c r="B1258" t="s">
        <v>17</v>
      </c>
      <c r="C1258">
        <v>689</v>
      </c>
      <c r="D1258" t="s">
        <v>20</v>
      </c>
    </row>
    <row r="1259" spans="1:4" x14ac:dyDescent="0.3">
      <c r="A1259" s="1">
        <v>38807</v>
      </c>
      <c r="B1259" t="s">
        <v>17</v>
      </c>
      <c r="C1259">
        <v>3386</v>
      </c>
      <c r="D1259" t="s">
        <v>21</v>
      </c>
    </row>
    <row r="1260" spans="1:4" x14ac:dyDescent="0.3">
      <c r="A1260" s="1">
        <v>38807</v>
      </c>
      <c r="B1260" t="s">
        <v>17</v>
      </c>
      <c r="C1260">
        <v>1457</v>
      </c>
      <c r="D1260" t="s">
        <v>22</v>
      </c>
    </row>
    <row r="1261" spans="1:4" x14ac:dyDescent="0.3">
      <c r="A1261" s="1">
        <v>38807</v>
      </c>
      <c r="B1261" t="s">
        <v>17</v>
      </c>
      <c r="C1261">
        <v>5835</v>
      </c>
      <c r="D1261" t="s">
        <v>23</v>
      </c>
    </row>
    <row r="1262" spans="1:4" x14ac:dyDescent="0.3">
      <c r="A1262" s="1">
        <v>38807</v>
      </c>
      <c r="B1262" t="s">
        <v>17</v>
      </c>
      <c r="C1262">
        <v>213</v>
      </c>
      <c r="D1262" t="s">
        <v>28</v>
      </c>
    </row>
    <row r="1263" spans="1:4" x14ac:dyDescent="0.3">
      <c r="A1263" s="1">
        <v>38807</v>
      </c>
      <c r="B1263" t="s">
        <v>17</v>
      </c>
      <c r="C1263">
        <v>2005</v>
      </c>
      <c r="D1263" t="s">
        <v>24</v>
      </c>
    </row>
    <row r="1264" spans="1:4" x14ac:dyDescent="0.3">
      <c r="A1264" s="1">
        <v>38807</v>
      </c>
      <c r="B1264" t="s">
        <v>17</v>
      </c>
      <c r="C1264">
        <v>2476</v>
      </c>
      <c r="D1264" t="s">
        <v>25</v>
      </c>
    </row>
    <row r="1265" spans="1:4" x14ac:dyDescent="0.3">
      <c r="A1265" s="1">
        <v>38807</v>
      </c>
      <c r="B1265" t="s">
        <v>17</v>
      </c>
      <c r="C1265">
        <v>1336</v>
      </c>
      <c r="D1265" t="s">
        <v>26</v>
      </c>
    </row>
    <row r="1266" spans="1:4" x14ac:dyDescent="0.3">
      <c r="A1266" s="1">
        <v>38807</v>
      </c>
      <c r="B1266" t="s">
        <v>17</v>
      </c>
      <c r="C1266">
        <v>3273</v>
      </c>
      <c r="D1266" t="s">
        <v>27</v>
      </c>
    </row>
    <row r="1267" spans="1:4" x14ac:dyDescent="0.3">
      <c r="A1267" s="1">
        <v>38898</v>
      </c>
      <c r="B1267" t="s">
        <v>17</v>
      </c>
      <c r="C1267">
        <v>1242</v>
      </c>
      <c r="D1267" t="s">
        <v>18</v>
      </c>
    </row>
    <row r="1268" spans="1:4" x14ac:dyDescent="0.3">
      <c r="A1268" s="1">
        <v>38898</v>
      </c>
      <c r="B1268" t="s">
        <v>17</v>
      </c>
      <c r="C1268">
        <v>1035</v>
      </c>
      <c r="D1268" t="s">
        <v>19</v>
      </c>
    </row>
    <row r="1269" spans="1:4" x14ac:dyDescent="0.3">
      <c r="A1269" s="1">
        <v>38898</v>
      </c>
      <c r="B1269" t="s">
        <v>17</v>
      </c>
      <c r="C1269">
        <v>686</v>
      </c>
      <c r="D1269" t="s">
        <v>20</v>
      </c>
    </row>
    <row r="1270" spans="1:4" x14ac:dyDescent="0.3">
      <c r="A1270" s="1">
        <v>38898</v>
      </c>
      <c r="B1270" t="s">
        <v>17</v>
      </c>
      <c r="C1270">
        <v>3423</v>
      </c>
      <c r="D1270" t="s">
        <v>21</v>
      </c>
    </row>
    <row r="1271" spans="1:4" x14ac:dyDescent="0.3">
      <c r="A1271" s="1">
        <v>38898</v>
      </c>
      <c r="B1271" t="s">
        <v>17</v>
      </c>
      <c r="C1271">
        <v>1468</v>
      </c>
      <c r="D1271" t="s">
        <v>22</v>
      </c>
    </row>
    <row r="1272" spans="1:4" x14ac:dyDescent="0.3">
      <c r="A1272" s="1">
        <v>38898</v>
      </c>
      <c r="B1272" t="s">
        <v>17</v>
      </c>
      <c r="C1272">
        <v>5959</v>
      </c>
      <c r="D1272" t="s">
        <v>23</v>
      </c>
    </row>
    <row r="1273" spans="1:4" x14ac:dyDescent="0.3">
      <c r="A1273" s="1">
        <v>38898</v>
      </c>
      <c r="B1273" t="s">
        <v>17</v>
      </c>
      <c r="C1273">
        <v>199</v>
      </c>
      <c r="D1273" t="s">
        <v>28</v>
      </c>
    </row>
    <row r="1274" spans="1:4" x14ac:dyDescent="0.3">
      <c r="A1274" s="1">
        <v>38898</v>
      </c>
      <c r="B1274" t="s">
        <v>17</v>
      </c>
      <c r="C1274">
        <v>2037</v>
      </c>
      <c r="D1274" t="s">
        <v>24</v>
      </c>
    </row>
    <row r="1275" spans="1:4" x14ac:dyDescent="0.3">
      <c r="A1275" s="1">
        <v>38898</v>
      </c>
      <c r="B1275" t="s">
        <v>17</v>
      </c>
      <c r="C1275">
        <v>2494</v>
      </c>
      <c r="D1275" t="s">
        <v>25</v>
      </c>
    </row>
    <row r="1276" spans="1:4" x14ac:dyDescent="0.3">
      <c r="A1276" s="1">
        <v>38898</v>
      </c>
      <c r="B1276" t="s">
        <v>17</v>
      </c>
      <c r="C1276">
        <v>1326</v>
      </c>
      <c r="D1276" t="s">
        <v>26</v>
      </c>
    </row>
    <row r="1277" spans="1:4" x14ac:dyDescent="0.3">
      <c r="A1277" s="1">
        <v>38898</v>
      </c>
      <c r="B1277" t="s">
        <v>17</v>
      </c>
      <c r="C1277">
        <v>3344</v>
      </c>
      <c r="D1277" t="s">
        <v>27</v>
      </c>
    </row>
    <row r="1278" spans="1:4" x14ac:dyDescent="0.3">
      <c r="A1278" s="1">
        <v>38990</v>
      </c>
      <c r="B1278" t="s">
        <v>17</v>
      </c>
      <c r="C1278">
        <v>1263</v>
      </c>
      <c r="D1278" t="s">
        <v>18</v>
      </c>
    </row>
    <row r="1279" spans="1:4" x14ac:dyDescent="0.3">
      <c r="A1279" s="1">
        <v>38990</v>
      </c>
      <c r="B1279" t="s">
        <v>17</v>
      </c>
      <c r="C1279">
        <v>1061</v>
      </c>
      <c r="D1279" t="s">
        <v>19</v>
      </c>
    </row>
    <row r="1280" spans="1:4" x14ac:dyDescent="0.3">
      <c r="A1280" s="1">
        <v>38990</v>
      </c>
      <c r="B1280" t="s">
        <v>17</v>
      </c>
      <c r="C1280">
        <v>655</v>
      </c>
      <c r="D1280" t="s">
        <v>20</v>
      </c>
    </row>
    <row r="1281" spans="1:4" x14ac:dyDescent="0.3">
      <c r="A1281" s="1">
        <v>38990</v>
      </c>
      <c r="B1281" t="s">
        <v>17</v>
      </c>
      <c r="C1281">
        <v>3431</v>
      </c>
      <c r="D1281" t="s">
        <v>21</v>
      </c>
    </row>
    <row r="1282" spans="1:4" x14ac:dyDescent="0.3">
      <c r="A1282" s="1">
        <v>38990</v>
      </c>
      <c r="B1282" t="s">
        <v>17</v>
      </c>
      <c r="C1282">
        <v>1499</v>
      </c>
      <c r="D1282" t="s">
        <v>22</v>
      </c>
    </row>
    <row r="1283" spans="1:4" x14ac:dyDescent="0.3">
      <c r="A1283" s="1">
        <v>38990</v>
      </c>
      <c r="B1283" t="s">
        <v>17</v>
      </c>
      <c r="C1283">
        <v>6050</v>
      </c>
      <c r="D1283" t="s">
        <v>23</v>
      </c>
    </row>
    <row r="1284" spans="1:4" x14ac:dyDescent="0.3">
      <c r="A1284" s="1">
        <v>38990</v>
      </c>
      <c r="B1284" t="s">
        <v>17</v>
      </c>
      <c r="C1284">
        <v>165</v>
      </c>
      <c r="D1284" t="s">
        <v>28</v>
      </c>
    </row>
    <row r="1285" spans="1:4" x14ac:dyDescent="0.3">
      <c r="A1285" s="1">
        <v>38990</v>
      </c>
      <c r="B1285" t="s">
        <v>17</v>
      </c>
      <c r="C1285">
        <v>2060</v>
      </c>
      <c r="D1285" t="s">
        <v>24</v>
      </c>
    </row>
    <row r="1286" spans="1:4" x14ac:dyDescent="0.3">
      <c r="A1286" s="1">
        <v>38990</v>
      </c>
      <c r="B1286" t="s">
        <v>17</v>
      </c>
      <c r="C1286">
        <v>2562</v>
      </c>
      <c r="D1286" t="s">
        <v>25</v>
      </c>
    </row>
    <row r="1287" spans="1:4" x14ac:dyDescent="0.3">
      <c r="A1287" s="1">
        <v>38990</v>
      </c>
      <c r="B1287" t="s">
        <v>17</v>
      </c>
      <c r="C1287">
        <v>1400</v>
      </c>
      <c r="D1287" t="s">
        <v>26</v>
      </c>
    </row>
    <row r="1288" spans="1:4" x14ac:dyDescent="0.3">
      <c r="A1288" s="1">
        <v>38990</v>
      </c>
      <c r="B1288" t="s">
        <v>17</v>
      </c>
      <c r="C1288">
        <v>3380</v>
      </c>
      <c r="D1288" t="s">
        <v>27</v>
      </c>
    </row>
    <row r="1289" spans="1:4" x14ac:dyDescent="0.3">
      <c r="A1289" s="1">
        <v>39082</v>
      </c>
      <c r="B1289" t="s">
        <v>17</v>
      </c>
      <c r="C1289">
        <v>1277</v>
      </c>
      <c r="D1289" t="s">
        <v>18</v>
      </c>
    </row>
    <row r="1290" spans="1:4" x14ac:dyDescent="0.3">
      <c r="A1290" s="1">
        <v>39082</v>
      </c>
      <c r="B1290" t="s">
        <v>17</v>
      </c>
      <c r="C1290">
        <v>1045</v>
      </c>
      <c r="D1290" t="s">
        <v>19</v>
      </c>
    </row>
    <row r="1291" spans="1:4" x14ac:dyDescent="0.3">
      <c r="A1291" s="1">
        <v>39082</v>
      </c>
      <c r="B1291" t="s">
        <v>17</v>
      </c>
      <c r="C1291">
        <v>785</v>
      </c>
      <c r="D1291" t="s">
        <v>20</v>
      </c>
    </row>
    <row r="1292" spans="1:4" x14ac:dyDescent="0.3">
      <c r="A1292" s="1">
        <v>39082</v>
      </c>
      <c r="B1292" t="s">
        <v>17</v>
      </c>
      <c r="C1292">
        <v>3521</v>
      </c>
      <c r="D1292" t="s">
        <v>21</v>
      </c>
    </row>
    <row r="1293" spans="1:4" x14ac:dyDescent="0.3">
      <c r="A1293" s="1">
        <v>39082</v>
      </c>
      <c r="B1293" t="s">
        <v>17</v>
      </c>
      <c r="C1293">
        <v>1544</v>
      </c>
      <c r="D1293" t="s">
        <v>22</v>
      </c>
    </row>
    <row r="1294" spans="1:4" x14ac:dyDescent="0.3">
      <c r="A1294" s="1">
        <v>39082</v>
      </c>
      <c r="B1294" t="s">
        <v>17</v>
      </c>
      <c r="C1294">
        <v>6139</v>
      </c>
      <c r="D1294" t="s">
        <v>23</v>
      </c>
    </row>
    <row r="1295" spans="1:4" x14ac:dyDescent="0.3">
      <c r="A1295" s="1">
        <v>39082</v>
      </c>
      <c r="B1295" t="s">
        <v>17</v>
      </c>
      <c r="C1295">
        <v>156</v>
      </c>
      <c r="D1295" t="s">
        <v>28</v>
      </c>
    </row>
    <row r="1296" spans="1:4" x14ac:dyDescent="0.3">
      <c r="A1296" s="1">
        <v>39082</v>
      </c>
      <c r="B1296" t="s">
        <v>17</v>
      </c>
      <c r="C1296">
        <v>2109</v>
      </c>
      <c r="D1296" t="s">
        <v>24</v>
      </c>
    </row>
    <row r="1297" spans="1:4" x14ac:dyDescent="0.3">
      <c r="A1297" s="1">
        <v>39082</v>
      </c>
      <c r="B1297" t="s">
        <v>17</v>
      </c>
      <c r="C1297">
        <v>2574</v>
      </c>
      <c r="D1297" t="s">
        <v>25</v>
      </c>
    </row>
    <row r="1298" spans="1:4" x14ac:dyDescent="0.3">
      <c r="A1298" s="1">
        <v>39082</v>
      </c>
      <c r="B1298" t="s">
        <v>17</v>
      </c>
      <c r="C1298">
        <v>1431</v>
      </c>
      <c r="D1298" t="s">
        <v>26</v>
      </c>
    </row>
    <row r="1299" spans="1:4" x14ac:dyDescent="0.3">
      <c r="A1299" s="1">
        <v>39082</v>
      </c>
      <c r="B1299" t="s">
        <v>17</v>
      </c>
      <c r="C1299">
        <v>3336</v>
      </c>
      <c r="D1299" t="s">
        <v>27</v>
      </c>
    </row>
    <row r="1300" spans="1:4" x14ac:dyDescent="0.3">
      <c r="A1300" s="1">
        <v>39172</v>
      </c>
      <c r="B1300" t="s">
        <v>17</v>
      </c>
      <c r="C1300">
        <v>1274</v>
      </c>
      <c r="D1300" t="s">
        <v>18</v>
      </c>
    </row>
    <row r="1301" spans="1:4" x14ac:dyDescent="0.3">
      <c r="A1301" s="1">
        <v>39172</v>
      </c>
      <c r="B1301" t="s">
        <v>17</v>
      </c>
      <c r="C1301">
        <v>1093</v>
      </c>
      <c r="D1301" t="s">
        <v>19</v>
      </c>
    </row>
    <row r="1302" spans="1:4" x14ac:dyDescent="0.3">
      <c r="A1302" s="1">
        <v>39172</v>
      </c>
      <c r="B1302" t="s">
        <v>17</v>
      </c>
      <c r="C1302">
        <v>787</v>
      </c>
      <c r="D1302" t="s">
        <v>20</v>
      </c>
    </row>
    <row r="1303" spans="1:4" x14ac:dyDescent="0.3">
      <c r="A1303" s="1">
        <v>39172</v>
      </c>
      <c r="B1303" t="s">
        <v>17</v>
      </c>
      <c r="C1303">
        <v>3487</v>
      </c>
      <c r="D1303" t="s">
        <v>21</v>
      </c>
    </row>
    <row r="1304" spans="1:4" x14ac:dyDescent="0.3">
      <c r="A1304" s="1">
        <v>39172</v>
      </c>
      <c r="B1304" t="s">
        <v>17</v>
      </c>
      <c r="C1304">
        <v>1602</v>
      </c>
      <c r="D1304" t="s">
        <v>22</v>
      </c>
    </row>
    <row r="1305" spans="1:4" x14ac:dyDescent="0.3">
      <c r="A1305" s="1">
        <v>39172</v>
      </c>
      <c r="B1305" t="s">
        <v>17</v>
      </c>
      <c r="C1305">
        <v>6260</v>
      </c>
      <c r="D1305" t="s">
        <v>23</v>
      </c>
    </row>
    <row r="1306" spans="1:4" x14ac:dyDescent="0.3">
      <c r="A1306" s="1">
        <v>39172</v>
      </c>
      <c r="B1306" t="s">
        <v>17</v>
      </c>
      <c r="C1306">
        <v>150</v>
      </c>
      <c r="D1306" t="s">
        <v>28</v>
      </c>
    </row>
    <row r="1307" spans="1:4" x14ac:dyDescent="0.3">
      <c r="A1307" s="1">
        <v>39172</v>
      </c>
      <c r="B1307" t="s">
        <v>17</v>
      </c>
      <c r="C1307">
        <v>2149</v>
      </c>
      <c r="D1307" t="s">
        <v>24</v>
      </c>
    </row>
    <row r="1308" spans="1:4" x14ac:dyDescent="0.3">
      <c r="A1308" s="1">
        <v>39172</v>
      </c>
      <c r="B1308" t="s">
        <v>17</v>
      </c>
      <c r="C1308">
        <v>2638</v>
      </c>
      <c r="D1308" t="s">
        <v>25</v>
      </c>
    </row>
    <row r="1309" spans="1:4" x14ac:dyDescent="0.3">
      <c r="A1309" s="1">
        <v>39172</v>
      </c>
      <c r="B1309" t="s">
        <v>17</v>
      </c>
      <c r="C1309">
        <v>1470</v>
      </c>
      <c r="D1309" t="s">
        <v>26</v>
      </c>
    </row>
    <row r="1310" spans="1:4" x14ac:dyDescent="0.3">
      <c r="A1310" s="1">
        <v>39172</v>
      </c>
      <c r="B1310" t="s">
        <v>17</v>
      </c>
      <c r="C1310">
        <v>3380</v>
      </c>
      <c r="D1310" t="s">
        <v>27</v>
      </c>
    </row>
    <row r="1311" spans="1:4" x14ac:dyDescent="0.3">
      <c r="A1311" s="1">
        <v>39263</v>
      </c>
      <c r="B1311" t="s">
        <v>17</v>
      </c>
      <c r="C1311">
        <v>1292</v>
      </c>
      <c r="D1311" t="s">
        <v>18</v>
      </c>
    </row>
    <row r="1312" spans="1:4" x14ac:dyDescent="0.3">
      <c r="A1312" s="1">
        <v>39263</v>
      </c>
      <c r="B1312" t="s">
        <v>17</v>
      </c>
      <c r="C1312">
        <v>1096</v>
      </c>
      <c r="D1312" t="s">
        <v>19</v>
      </c>
    </row>
    <row r="1313" spans="1:4" x14ac:dyDescent="0.3">
      <c r="A1313" s="1">
        <v>39263</v>
      </c>
      <c r="B1313" t="s">
        <v>17</v>
      </c>
      <c r="C1313">
        <v>779</v>
      </c>
      <c r="D1313" t="s">
        <v>20</v>
      </c>
    </row>
    <row r="1314" spans="1:4" x14ac:dyDescent="0.3">
      <c r="A1314" s="1">
        <v>39263</v>
      </c>
      <c r="B1314" t="s">
        <v>17</v>
      </c>
      <c r="C1314">
        <v>3563</v>
      </c>
      <c r="D1314" t="s">
        <v>21</v>
      </c>
    </row>
    <row r="1315" spans="1:4" x14ac:dyDescent="0.3">
      <c r="A1315" s="1">
        <v>39263</v>
      </c>
      <c r="B1315" t="s">
        <v>17</v>
      </c>
      <c r="C1315">
        <v>1599</v>
      </c>
      <c r="D1315" t="s">
        <v>22</v>
      </c>
    </row>
    <row r="1316" spans="1:4" x14ac:dyDescent="0.3">
      <c r="A1316" s="1">
        <v>39263</v>
      </c>
      <c r="B1316" t="s">
        <v>17</v>
      </c>
      <c r="C1316">
        <v>6344</v>
      </c>
      <c r="D1316" t="s">
        <v>23</v>
      </c>
    </row>
    <row r="1317" spans="1:4" x14ac:dyDescent="0.3">
      <c r="A1317" s="1">
        <v>39263</v>
      </c>
      <c r="B1317" t="s">
        <v>17</v>
      </c>
      <c r="C1317">
        <v>157</v>
      </c>
      <c r="D1317" t="s">
        <v>28</v>
      </c>
    </row>
    <row r="1318" spans="1:4" x14ac:dyDescent="0.3">
      <c r="A1318" s="1">
        <v>39263</v>
      </c>
      <c r="B1318" t="s">
        <v>17</v>
      </c>
      <c r="C1318">
        <v>2156</v>
      </c>
      <c r="D1318" t="s">
        <v>24</v>
      </c>
    </row>
    <row r="1319" spans="1:4" x14ac:dyDescent="0.3">
      <c r="A1319" s="1">
        <v>39263</v>
      </c>
      <c r="B1319" t="s">
        <v>17</v>
      </c>
      <c r="C1319">
        <v>2616</v>
      </c>
      <c r="D1319" t="s">
        <v>25</v>
      </c>
    </row>
    <row r="1320" spans="1:4" x14ac:dyDescent="0.3">
      <c r="A1320" s="1">
        <v>39263</v>
      </c>
      <c r="B1320" t="s">
        <v>17</v>
      </c>
      <c r="C1320">
        <v>1470</v>
      </c>
      <c r="D1320" t="s">
        <v>26</v>
      </c>
    </row>
    <row r="1321" spans="1:4" x14ac:dyDescent="0.3">
      <c r="A1321" s="1">
        <v>39263</v>
      </c>
      <c r="B1321" t="s">
        <v>17</v>
      </c>
      <c r="C1321">
        <v>3454</v>
      </c>
      <c r="D1321" t="s">
        <v>27</v>
      </c>
    </row>
    <row r="1322" spans="1:4" x14ac:dyDescent="0.3">
      <c r="A1322" s="1">
        <v>39355</v>
      </c>
      <c r="B1322" t="s">
        <v>17</v>
      </c>
      <c r="C1322">
        <v>1298</v>
      </c>
      <c r="D1322" t="s">
        <v>18</v>
      </c>
    </row>
    <row r="1323" spans="1:4" x14ac:dyDescent="0.3">
      <c r="A1323" s="1">
        <v>39355</v>
      </c>
      <c r="B1323" t="s">
        <v>17</v>
      </c>
      <c r="C1323">
        <v>1071</v>
      </c>
      <c r="D1323" t="s">
        <v>19</v>
      </c>
    </row>
    <row r="1324" spans="1:4" x14ac:dyDescent="0.3">
      <c r="A1324" s="1">
        <v>39355</v>
      </c>
      <c r="B1324" t="s">
        <v>17</v>
      </c>
      <c r="C1324">
        <v>789</v>
      </c>
      <c r="D1324" t="s">
        <v>20</v>
      </c>
    </row>
    <row r="1325" spans="1:4" x14ac:dyDescent="0.3">
      <c r="A1325" s="1">
        <v>39355</v>
      </c>
      <c r="B1325" t="s">
        <v>17</v>
      </c>
      <c r="C1325">
        <v>3618</v>
      </c>
      <c r="D1325" t="s">
        <v>21</v>
      </c>
    </row>
    <row r="1326" spans="1:4" x14ac:dyDescent="0.3">
      <c r="A1326" s="1">
        <v>39355</v>
      </c>
      <c r="B1326" t="s">
        <v>17</v>
      </c>
      <c r="C1326">
        <v>1578</v>
      </c>
      <c r="D1326" t="s">
        <v>22</v>
      </c>
    </row>
    <row r="1327" spans="1:4" x14ac:dyDescent="0.3">
      <c r="A1327" s="1">
        <v>39355</v>
      </c>
      <c r="B1327" t="s">
        <v>17</v>
      </c>
      <c r="C1327">
        <v>6456</v>
      </c>
      <c r="D1327" t="s">
        <v>23</v>
      </c>
    </row>
    <row r="1328" spans="1:4" x14ac:dyDescent="0.3">
      <c r="A1328" s="1">
        <v>39355</v>
      </c>
      <c r="B1328" t="s">
        <v>17</v>
      </c>
      <c r="C1328">
        <v>182</v>
      </c>
      <c r="D1328" t="s">
        <v>28</v>
      </c>
    </row>
    <row r="1329" spans="1:4" x14ac:dyDescent="0.3">
      <c r="A1329" s="1">
        <v>39355</v>
      </c>
      <c r="B1329" t="s">
        <v>17</v>
      </c>
      <c r="C1329">
        <v>2178</v>
      </c>
      <c r="D1329" t="s">
        <v>24</v>
      </c>
    </row>
    <row r="1330" spans="1:4" x14ac:dyDescent="0.3">
      <c r="A1330" s="1">
        <v>39355</v>
      </c>
      <c r="B1330" t="s">
        <v>17</v>
      </c>
      <c r="C1330">
        <v>2605</v>
      </c>
      <c r="D1330" t="s">
        <v>25</v>
      </c>
    </row>
    <row r="1331" spans="1:4" x14ac:dyDescent="0.3">
      <c r="A1331" s="1">
        <v>39355</v>
      </c>
      <c r="B1331" t="s">
        <v>17</v>
      </c>
      <c r="C1331">
        <v>1485</v>
      </c>
      <c r="D1331" t="s">
        <v>26</v>
      </c>
    </row>
    <row r="1332" spans="1:4" x14ac:dyDescent="0.3">
      <c r="A1332" s="1">
        <v>39355</v>
      </c>
      <c r="B1332" t="s">
        <v>17</v>
      </c>
      <c r="C1332">
        <v>3476</v>
      </c>
      <c r="D1332" t="s">
        <v>27</v>
      </c>
    </row>
    <row r="1333" spans="1:4" x14ac:dyDescent="0.3">
      <c r="A1333" s="1">
        <v>39447</v>
      </c>
      <c r="B1333" t="s">
        <v>17</v>
      </c>
      <c r="C1333">
        <v>1322</v>
      </c>
      <c r="D1333" t="s">
        <v>18</v>
      </c>
    </row>
    <row r="1334" spans="1:4" x14ac:dyDescent="0.3">
      <c r="A1334" s="1">
        <v>39447</v>
      </c>
      <c r="B1334" t="s">
        <v>17</v>
      </c>
      <c r="C1334">
        <v>1101</v>
      </c>
      <c r="D1334" t="s">
        <v>19</v>
      </c>
    </row>
    <row r="1335" spans="1:4" x14ac:dyDescent="0.3">
      <c r="A1335" s="1">
        <v>39447</v>
      </c>
      <c r="B1335" t="s">
        <v>17</v>
      </c>
      <c r="C1335">
        <v>788</v>
      </c>
      <c r="D1335" t="s">
        <v>20</v>
      </c>
    </row>
    <row r="1336" spans="1:4" x14ac:dyDescent="0.3">
      <c r="A1336" s="1">
        <v>39447</v>
      </c>
      <c r="B1336" t="s">
        <v>17</v>
      </c>
      <c r="C1336">
        <v>3692</v>
      </c>
      <c r="D1336" t="s">
        <v>21</v>
      </c>
    </row>
    <row r="1337" spans="1:4" x14ac:dyDescent="0.3">
      <c r="A1337" s="1">
        <v>39447</v>
      </c>
      <c r="B1337" t="s">
        <v>17</v>
      </c>
      <c r="C1337">
        <v>1546</v>
      </c>
      <c r="D1337" t="s">
        <v>22</v>
      </c>
    </row>
    <row r="1338" spans="1:4" x14ac:dyDescent="0.3">
      <c r="A1338" s="1">
        <v>39447</v>
      </c>
      <c r="B1338" t="s">
        <v>17</v>
      </c>
      <c r="C1338">
        <v>6566</v>
      </c>
      <c r="D1338" t="s">
        <v>23</v>
      </c>
    </row>
    <row r="1339" spans="1:4" x14ac:dyDescent="0.3">
      <c r="A1339" s="1">
        <v>39447</v>
      </c>
      <c r="B1339" t="s">
        <v>17</v>
      </c>
      <c r="C1339">
        <v>174</v>
      </c>
      <c r="D1339" t="s">
        <v>28</v>
      </c>
    </row>
    <row r="1340" spans="1:4" x14ac:dyDescent="0.3">
      <c r="A1340" s="1">
        <v>39447</v>
      </c>
      <c r="B1340" t="s">
        <v>17</v>
      </c>
      <c r="C1340">
        <v>2174</v>
      </c>
      <c r="D1340" t="s">
        <v>24</v>
      </c>
    </row>
    <row r="1341" spans="1:4" x14ac:dyDescent="0.3">
      <c r="A1341" s="1">
        <v>39447</v>
      </c>
      <c r="B1341" t="s">
        <v>17</v>
      </c>
      <c r="C1341">
        <v>2598</v>
      </c>
      <c r="D1341" t="s">
        <v>25</v>
      </c>
    </row>
    <row r="1342" spans="1:4" x14ac:dyDescent="0.3">
      <c r="A1342" s="1">
        <v>39447</v>
      </c>
      <c r="B1342" t="s">
        <v>17</v>
      </c>
      <c r="C1342">
        <v>1504</v>
      </c>
      <c r="D1342" t="s">
        <v>26</v>
      </c>
    </row>
    <row r="1343" spans="1:4" x14ac:dyDescent="0.3">
      <c r="A1343" s="1">
        <v>39447</v>
      </c>
      <c r="B1343" t="s">
        <v>17</v>
      </c>
      <c r="C1343">
        <v>3620</v>
      </c>
      <c r="D1343" t="s">
        <v>27</v>
      </c>
    </row>
    <row r="1344" spans="1:4" x14ac:dyDescent="0.3">
      <c r="A1344" s="1">
        <v>39538</v>
      </c>
      <c r="B1344" t="s">
        <v>17</v>
      </c>
      <c r="C1344">
        <v>1349</v>
      </c>
      <c r="D1344" t="s">
        <v>18</v>
      </c>
    </row>
    <row r="1345" spans="1:4" x14ac:dyDescent="0.3">
      <c r="A1345" s="1">
        <v>39538</v>
      </c>
      <c r="B1345" t="s">
        <v>17</v>
      </c>
      <c r="C1345">
        <v>1107</v>
      </c>
      <c r="D1345" t="s">
        <v>19</v>
      </c>
    </row>
    <row r="1346" spans="1:4" x14ac:dyDescent="0.3">
      <c r="A1346" s="1">
        <v>39538</v>
      </c>
      <c r="B1346" t="s">
        <v>17</v>
      </c>
      <c r="C1346">
        <v>811</v>
      </c>
      <c r="D1346" t="s">
        <v>20</v>
      </c>
    </row>
    <row r="1347" spans="1:4" x14ac:dyDescent="0.3">
      <c r="A1347" s="1">
        <v>39538</v>
      </c>
      <c r="B1347" t="s">
        <v>17</v>
      </c>
      <c r="C1347">
        <v>3835</v>
      </c>
      <c r="D1347" t="s">
        <v>21</v>
      </c>
    </row>
    <row r="1348" spans="1:4" x14ac:dyDescent="0.3">
      <c r="A1348" s="1">
        <v>39538</v>
      </c>
      <c r="B1348" t="s">
        <v>17</v>
      </c>
      <c r="C1348">
        <v>1545</v>
      </c>
      <c r="D1348" t="s">
        <v>22</v>
      </c>
    </row>
    <row r="1349" spans="1:4" x14ac:dyDescent="0.3">
      <c r="A1349" s="1">
        <v>39538</v>
      </c>
      <c r="B1349" t="s">
        <v>17</v>
      </c>
      <c r="C1349">
        <v>6684</v>
      </c>
      <c r="D1349" t="s">
        <v>23</v>
      </c>
    </row>
    <row r="1350" spans="1:4" x14ac:dyDescent="0.3">
      <c r="A1350" s="1">
        <v>39538</v>
      </c>
      <c r="B1350" t="s">
        <v>17</v>
      </c>
      <c r="C1350">
        <v>174</v>
      </c>
      <c r="D1350" t="s">
        <v>28</v>
      </c>
    </row>
    <row r="1351" spans="1:4" x14ac:dyDescent="0.3">
      <c r="A1351" s="1">
        <v>39538</v>
      </c>
      <c r="B1351" t="s">
        <v>17</v>
      </c>
      <c r="C1351">
        <v>2156</v>
      </c>
      <c r="D1351" t="s">
        <v>24</v>
      </c>
    </row>
    <row r="1352" spans="1:4" x14ac:dyDescent="0.3">
      <c r="A1352" s="1">
        <v>39538</v>
      </c>
      <c r="B1352" t="s">
        <v>17</v>
      </c>
      <c r="C1352">
        <v>2696</v>
      </c>
      <c r="D1352" t="s">
        <v>25</v>
      </c>
    </row>
    <row r="1353" spans="1:4" x14ac:dyDescent="0.3">
      <c r="A1353" s="1">
        <v>39538</v>
      </c>
      <c r="B1353" t="s">
        <v>17</v>
      </c>
      <c r="C1353">
        <v>1560</v>
      </c>
      <c r="D1353" t="s">
        <v>26</v>
      </c>
    </row>
    <row r="1354" spans="1:4" x14ac:dyDescent="0.3">
      <c r="A1354" s="1">
        <v>39538</v>
      </c>
      <c r="B1354" t="s">
        <v>17</v>
      </c>
      <c r="C1354">
        <v>3724</v>
      </c>
      <c r="D1354" t="s">
        <v>27</v>
      </c>
    </row>
    <row r="1355" spans="1:4" x14ac:dyDescent="0.3">
      <c r="A1355" s="1">
        <v>39629</v>
      </c>
      <c r="B1355" t="s">
        <v>17</v>
      </c>
      <c r="C1355">
        <v>1325</v>
      </c>
      <c r="D1355" t="s">
        <v>18</v>
      </c>
    </row>
    <row r="1356" spans="1:4" x14ac:dyDescent="0.3">
      <c r="A1356" s="1">
        <v>39629</v>
      </c>
      <c r="B1356" t="s">
        <v>17</v>
      </c>
      <c r="C1356">
        <v>1073</v>
      </c>
      <c r="D1356" t="s">
        <v>19</v>
      </c>
    </row>
    <row r="1357" spans="1:4" x14ac:dyDescent="0.3">
      <c r="A1357" s="1">
        <v>39629</v>
      </c>
      <c r="B1357" t="s">
        <v>17</v>
      </c>
      <c r="C1357">
        <v>837</v>
      </c>
      <c r="D1357" t="s">
        <v>20</v>
      </c>
    </row>
    <row r="1358" spans="1:4" x14ac:dyDescent="0.3">
      <c r="A1358" s="1">
        <v>39629</v>
      </c>
      <c r="B1358" t="s">
        <v>17</v>
      </c>
      <c r="C1358">
        <v>3779</v>
      </c>
      <c r="D1358" t="s">
        <v>21</v>
      </c>
    </row>
    <row r="1359" spans="1:4" x14ac:dyDescent="0.3">
      <c r="A1359" s="1">
        <v>39629</v>
      </c>
      <c r="B1359" t="s">
        <v>17</v>
      </c>
      <c r="C1359">
        <v>1531</v>
      </c>
      <c r="D1359" t="s">
        <v>22</v>
      </c>
    </row>
    <row r="1360" spans="1:4" x14ac:dyDescent="0.3">
      <c r="A1360" s="1">
        <v>39629</v>
      </c>
      <c r="B1360" t="s">
        <v>17</v>
      </c>
      <c r="C1360">
        <v>6786</v>
      </c>
      <c r="D1360" t="s">
        <v>23</v>
      </c>
    </row>
    <row r="1361" spans="1:4" x14ac:dyDescent="0.3">
      <c r="A1361" s="1">
        <v>39629</v>
      </c>
      <c r="B1361" t="s">
        <v>17</v>
      </c>
      <c r="C1361">
        <v>183</v>
      </c>
      <c r="D1361" t="s">
        <v>28</v>
      </c>
    </row>
    <row r="1362" spans="1:4" x14ac:dyDescent="0.3">
      <c r="A1362" s="1">
        <v>39629</v>
      </c>
      <c r="B1362" t="s">
        <v>17</v>
      </c>
      <c r="C1362">
        <v>2177</v>
      </c>
      <c r="D1362" t="s">
        <v>24</v>
      </c>
    </row>
    <row r="1363" spans="1:4" x14ac:dyDescent="0.3">
      <c r="A1363" s="1">
        <v>39629</v>
      </c>
      <c r="B1363" t="s">
        <v>17</v>
      </c>
      <c r="C1363">
        <v>2658</v>
      </c>
      <c r="D1363" t="s">
        <v>25</v>
      </c>
    </row>
    <row r="1364" spans="1:4" x14ac:dyDescent="0.3">
      <c r="A1364" s="1">
        <v>39629</v>
      </c>
      <c r="B1364" t="s">
        <v>17</v>
      </c>
      <c r="C1364">
        <v>1499</v>
      </c>
      <c r="D1364" t="s">
        <v>26</v>
      </c>
    </row>
    <row r="1365" spans="1:4" x14ac:dyDescent="0.3">
      <c r="A1365" s="1">
        <v>39629</v>
      </c>
      <c r="B1365" t="s">
        <v>17</v>
      </c>
      <c r="C1365">
        <v>3638</v>
      </c>
      <c r="D1365" t="s">
        <v>27</v>
      </c>
    </row>
    <row r="1366" spans="1:4" x14ac:dyDescent="0.3">
      <c r="A1366" s="1">
        <v>39721</v>
      </c>
      <c r="B1366" t="s">
        <v>17</v>
      </c>
      <c r="C1366">
        <v>1344</v>
      </c>
      <c r="D1366" t="s">
        <v>18</v>
      </c>
    </row>
    <row r="1367" spans="1:4" x14ac:dyDescent="0.3">
      <c r="A1367" s="1">
        <v>39721</v>
      </c>
      <c r="B1367" t="s">
        <v>17</v>
      </c>
      <c r="C1367">
        <v>1126</v>
      </c>
      <c r="D1367" t="s">
        <v>19</v>
      </c>
    </row>
    <row r="1368" spans="1:4" x14ac:dyDescent="0.3">
      <c r="A1368" s="1">
        <v>39721</v>
      </c>
      <c r="B1368" t="s">
        <v>17</v>
      </c>
      <c r="C1368">
        <v>839</v>
      </c>
      <c r="D1368" t="s">
        <v>20</v>
      </c>
    </row>
    <row r="1369" spans="1:4" x14ac:dyDescent="0.3">
      <c r="A1369" s="1">
        <v>39721</v>
      </c>
      <c r="B1369" t="s">
        <v>17</v>
      </c>
      <c r="C1369">
        <v>3833</v>
      </c>
      <c r="D1369" t="s">
        <v>21</v>
      </c>
    </row>
    <row r="1370" spans="1:4" x14ac:dyDescent="0.3">
      <c r="A1370" s="1">
        <v>39721</v>
      </c>
      <c r="B1370" t="s">
        <v>17</v>
      </c>
      <c r="C1370">
        <v>1520</v>
      </c>
      <c r="D1370" t="s">
        <v>22</v>
      </c>
    </row>
    <row r="1371" spans="1:4" x14ac:dyDescent="0.3">
      <c r="A1371" s="1">
        <v>39721</v>
      </c>
      <c r="B1371" t="s">
        <v>17</v>
      </c>
      <c r="C1371">
        <v>6910</v>
      </c>
      <c r="D1371" t="s">
        <v>23</v>
      </c>
    </row>
    <row r="1372" spans="1:4" x14ac:dyDescent="0.3">
      <c r="A1372" s="1">
        <v>39721</v>
      </c>
      <c r="B1372" t="s">
        <v>17</v>
      </c>
      <c r="C1372">
        <v>182</v>
      </c>
      <c r="D1372" t="s">
        <v>28</v>
      </c>
    </row>
    <row r="1373" spans="1:4" x14ac:dyDescent="0.3">
      <c r="A1373" s="1">
        <v>39721</v>
      </c>
      <c r="B1373" t="s">
        <v>17</v>
      </c>
      <c r="C1373">
        <v>2217</v>
      </c>
      <c r="D1373" t="s">
        <v>24</v>
      </c>
    </row>
    <row r="1374" spans="1:4" x14ac:dyDescent="0.3">
      <c r="A1374" s="1">
        <v>39721</v>
      </c>
      <c r="B1374" t="s">
        <v>17</v>
      </c>
      <c r="C1374">
        <v>2679</v>
      </c>
      <c r="D1374" t="s">
        <v>25</v>
      </c>
    </row>
    <row r="1375" spans="1:4" x14ac:dyDescent="0.3">
      <c r="A1375" s="1">
        <v>39721</v>
      </c>
      <c r="B1375" t="s">
        <v>17</v>
      </c>
      <c r="C1375">
        <v>1598</v>
      </c>
      <c r="D1375" t="s">
        <v>26</v>
      </c>
    </row>
    <row r="1376" spans="1:4" x14ac:dyDescent="0.3">
      <c r="A1376" s="1">
        <v>39721</v>
      </c>
      <c r="B1376" t="s">
        <v>17</v>
      </c>
      <c r="C1376">
        <v>3661</v>
      </c>
      <c r="D1376" t="s">
        <v>27</v>
      </c>
    </row>
    <row r="1377" spans="1:4" x14ac:dyDescent="0.3">
      <c r="A1377" s="1">
        <v>39813</v>
      </c>
      <c r="B1377" t="s">
        <v>17</v>
      </c>
      <c r="C1377">
        <v>1331</v>
      </c>
      <c r="D1377" t="s">
        <v>18</v>
      </c>
    </row>
    <row r="1378" spans="1:4" x14ac:dyDescent="0.3">
      <c r="A1378" s="1">
        <v>39813</v>
      </c>
      <c r="B1378" t="s">
        <v>17</v>
      </c>
      <c r="C1378">
        <v>1139</v>
      </c>
      <c r="D1378" t="s">
        <v>19</v>
      </c>
    </row>
    <row r="1379" spans="1:4" x14ac:dyDescent="0.3">
      <c r="A1379" s="1">
        <v>39813</v>
      </c>
      <c r="B1379" t="s">
        <v>17</v>
      </c>
      <c r="C1379">
        <v>856</v>
      </c>
      <c r="D1379" t="s">
        <v>20</v>
      </c>
    </row>
    <row r="1380" spans="1:4" x14ac:dyDescent="0.3">
      <c r="A1380" s="1">
        <v>39813</v>
      </c>
      <c r="B1380" t="s">
        <v>17</v>
      </c>
      <c r="C1380">
        <v>3901</v>
      </c>
      <c r="D1380" t="s">
        <v>21</v>
      </c>
    </row>
    <row r="1381" spans="1:4" x14ac:dyDescent="0.3">
      <c r="A1381" s="1">
        <v>39813</v>
      </c>
      <c r="B1381" t="s">
        <v>17</v>
      </c>
      <c r="C1381">
        <v>1515</v>
      </c>
      <c r="D1381" t="s">
        <v>22</v>
      </c>
    </row>
    <row r="1382" spans="1:4" x14ac:dyDescent="0.3">
      <c r="A1382" s="1">
        <v>39813</v>
      </c>
      <c r="B1382" t="s">
        <v>17</v>
      </c>
      <c r="C1382">
        <v>6992</v>
      </c>
      <c r="D1382" t="s">
        <v>23</v>
      </c>
    </row>
    <row r="1383" spans="1:4" x14ac:dyDescent="0.3">
      <c r="A1383" s="1">
        <v>39813</v>
      </c>
      <c r="B1383" t="s">
        <v>17</v>
      </c>
      <c r="C1383">
        <v>205</v>
      </c>
      <c r="D1383" t="s">
        <v>28</v>
      </c>
    </row>
    <row r="1384" spans="1:4" x14ac:dyDescent="0.3">
      <c r="A1384" s="1">
        <v>39813</v>
      </c>
      <c r="B1384" t="s">
        <v>17</v>
      </c>
      <c r="C1384">
        <v>2283</v>
      </c>
      <c r="D1384" t="s">
        <v>24</v>
      </c>
    </row>
    <row r="1385" spans="1:4" x14ac:dyDescent="0.3">
      <c r="A1385" s="1">
        <v>39813</v>
      </c>
      <c r="B1385" t="s">
        <v>17</v>
      </c>
      <c r="C1385">
        <v>2715</v>
      </c>
      <c r="D1385" t="s">
        <v>25</v>
      </c>
    </row>
    <row r="1386" spans="1:4" x14ac:dyDescent="0.3">
      <c r="A1386" s="1">
        <v>39813</v>
      </c>
      <c r="B1386" t="s">
        <v>17</v>
      </c>
      <c r="C1386">
        <v>1586</v>
      </c>
      <c r="D1386" t="s">
        <v>26</v>
      </c>
    </row>
    <row r="1387" spans="1:4" x14ac:dyDescent="0.3">
      <c r="A1387" s="1">
        <v>39813</v>
      </c>
      <c r="B1387" t="s">
        <v>17</v>
      </c>
      <c r="C1387">
        <v>3497</v>
      </c>
      <c r="D1387" t="s">
        <v>27</v>
      </c>
    </row>
    <row r="1388" spans="1:4" x14ac:dyDescent="0.3">
      <c r="A1388" s="1">
        <v>39903</v>
      </c>
      <c r="B1388" t="s">
        <v>17</v>
      </c>
      <c r="C1388">
        <v>1338</v>
      </c>
      <c r="D1388" t="s">
        <v>18</v>
      </c>
    </row>
    <row r="1389" spans="1:4" x14ac:dyDescent="0.3">
      <c r="A1389" s="1">
        <v>39903</v>
      </c>
      <c r="B1389" t="s">
        <v>17</v>
      </c>
      <c r="C1389">
        <v>1128</v>
      </c>
      <c r="D1389" t="s">
        <v>19</v>
      </c>
    </row>
    <row r="1390" spans="1:4" x14ac:dyDescent="0.3">
      <c r="A1390" s="1">
        <v>39903</v>
      </c>
      <c r="B1390" t="s">
        <v>17</v>
      </c>
      <c r="C1390">
        <v>843</v>
      </c>
      <c r="D1390" t="s">
        <v>20</v>
      </c>
    </row>
    <row r="1391" spans="1:4" x14ac:dyDescent="0.3">
      <c r="A1391" s="1">
        <v>39903</v>
      </c>
      <c r="B1391" t="s">
        <v>17</v>
      </c>
      <c r="C1391">
        <v>3983</v>
      </c>
      <c r="D1391" t="s">
        <v>21</v>
      </c>
    </row>
    <row r="1392" spans="1:4" x14ac:dyDescent="0.3">
      <c r="A1392" s="1">
        <v>39903</v>
      </c>
      <c r="B1392" t="s">
        <v>17</v>
      </c>
      <c r="C1392">
        <v>1469</v>
      </c>
      <c r="D1392" t="s">
        <v>22</v>
      </c>
    </row>
    <row r="1393" spans="1:4" x14ac:dyDescent="0.3">
      <c r="A1393" s="1">
        <v>39903</v>
      </c>
      <c r="B1393" t="s">
        <v>17</v>
      </c>
      <c r="C1393">
        <v>7049</v>
      </c>
      <c r="D1393" t="s">
        <v>23</v>
      </c>
    </row>
    <row r="1394" spans="1:4" x14ac:dyDescent="0.3">
      <c r="A1394" s="1">
        <v>39903</v>
      </c>
      <c r="B1394" t="s">
        <v>17</v>
      </c>
      <c r="C1394">
        <v>186</v>
      </c>
      <c r="D1394" t="s">
        <v>28</v>
      </c>
    </row>
    <row r="1395" spans="1:4" x14ac:dyDescent="0.3">
      <c r="A1395" s="1">
        <v>39903</v>
      </c>
      <c r="B1395" t="s">
        <v>17</v>
      </c>
      <c r="C1395">
        <v>2386</v>
      </c>
      <c r="D1395" t="s">
        <v>24</v>
      </c>
    </row>
    <row r="1396" spans="1:4" x14ac:dyDescent="0.3">
      <c r="A1396" s="1">
        <v>39903</v>
      </c>
      <c r="B1396" t="s">
        <v>17</v>
      </c>
      <c r="C1396">
        <v>2612</v>
      </c>
      <c r="D1396" t="s">
        <v>25</v>
      </c>
    </row>
    <row r="1397" spans="1:4" x14ac:dyDescent="0.3">
      <c r="A1397" s="1">
        <v>39903</v>
      </c>
      <c r="B1397" t="s">
        <v>17</v>
      </c>
      <c r="C1397">
        <v>1421</v>
      </c>
      <c r="D1397" t="s">
        <v>26</v>
      </c>
    </row>
    <row r="1398" spans="1:4" x14ac:dyDescent="0.3">
      <c r="A1398" s="1">
        <v>39903</v>
      </c>
      <c r="B1398" t="s">
        <v>17</v>
      </c>
      <c r="C1398">
        <v>3222</v>
      </c>
      <c r="D1398" t="s">
        <v>27</v>
      </c>
    </row>
    <row r="1399" spans="1:4" x14ac:dyDescent="0.3">
      <c r="A1399" s="1">
        <v>39994</v>
      </c>
      <c r="B1399" t="s">
        <v>17</v>
      </c>
      <c r="C1399">
        <v>1374</v>
      </c>
      <c r="D1399" t="s">
        <v>18</v>
      </c>
    </row>
    <row r="1400" spans="1:4" x14ac:dyDescent="0.3">
      <c r="A1400" s="1">
        <v>39994</v>
      </c>
      <c r="B1400" t="s">
        <v>17</v>
      </c>
      <c r="C1400">
        <v>1151</v>
      </c>
      <c r="D1400" t="s">
        <v>19</v>
      </c>
    </row>
    <row r="1401" spans="1:4" x14ac:dyDescent="0.3">
      <c r="A1401" s="1">
        <v>39994</v>
      </c>
      <c r="B1401" t="s">
        <v>17</v>
      </c>
      <c r="C1401">
        <v>864</v>
      </c>
      <c r="D1401" t="s">
        <v>20</v>
      </c>
    </row>
    <row r="1402" spans="1:4" x14ac:dyDescent="0.3">
      <c r="A1402" s="1">
        <v>39994</v>
      </c>
      <c r="B1402" t="s">
        <v>17</v>
      </c>
      <c r="C1402">
        <v>4145</v>
      </c>
      <c r="D1402" t="s">
        <v>21</v>
      </c>
    </row>
    <row r="1403" spans="1:4" x14ac:dyDescent="0.3">
      <c r="A1403" s="1">
        <v>39994</v>
      </c>
      <c r="B1403" t="s">
        <v>17</v>
      </c>
      <c r="C1403">
        <v>1483</v>
      </c>
      <c r="D1403" t="s">
        <v>22</v>
      </c>
    </row>
    <row r="1404" spans="1:4" x14ac:dyDescent="0.3">
      <c r="A1404" s="1">
        <v>39994</v>
      </c>
      <c r="B1404" t="s">
        <v>17</v>
      </c>
      <c r="C1404">
        <v>7143</v>
      </c>
      <c r="D1404" t="s">
        <v>23</v>
      </c>
    </row>
    <row r="1405" spans="1:4" x14ac:dyDescent="0.3">
      <c r="A1405" s="1">
        <v>39994</v>
      </c>
      <c r="B1405" t="s">
        <v>17</v>
      </c>
      <c r="C1405">
        <v>157</v>
      </c>
      <c r="D1405" t="s">
        <v>28</v>
      </c>
    </row>
    <row r="1406" spans="1:4" x14ac:dyDescent="0.3">
      <c r="A1406" s="1">
        <v>39994</v>
      </c>
      <c r="B1406" t="s">
        <v>17</v>
      </c>
      <c r="C1406">
        <v>2501</v>
      </c>
      <c r="D1406" t="s">
        <v>24</v>
      </c>
    </row>
    <row r="1407" spans="1:4" x14ac:dyDescent="0.3">
      <c r="A1407" s="1">
        <v>39994</v>
      </c>
      <c r="B1407" t="s">
        <v>17</v>
      </c>
      <c r="C1407">
        <v>2586</v>
      </c>
      <c r="D1407" t="s">
        <v>25</v>
      </c>
    </row>
    <row r="1408" spans="1:4" x14ac:dyDescent="0.3">
      <c r="A1408" s="1">
        <v>39994</v>
      </c>
      <c r="B1408" t="s">
        <v>17</v>
      </c>
      <c r="C1408">
        <v>1575</v>
      </c>
      <c r="D1408" t="s">
        <v>26</v>
      </c>
    </row>
    <row r="1409" spans="1:4" x14ac:dyDescent="0.3">
      <c r="A1409" s="1">
        <v>39994</v>
      </c>
      <c r="B1409" t="s">
        <v>17</v>
      </c>
      <c r="C1409">
        <v>3218</v>
      </c>
      <c r="D1409" t="s">
        <v>27</v>
      </c>
    </row>
    <row r="1410" spans="1:4" x14ac:dyDescent="0.3">
      <c r="A1410" s="1">
        <v>40086</v>
      </c>
      <c r="B1410" t="s">
        <v>17</v>
      </c>
      <c r="C1410">
        <v>1398</v>
      </c>
      <c r="D1410" t="s">
        <v>18</v>
      </c>
    </row>
    <row r="1411" spans="1:4" x14ac:dyDescent="0.3">
      <c r="A1411" s="1">
        <v>40086</v>
      </c>
      <c r="B1411" t="s">
        <v>17</v>
      </c>
      <c r="C1411">
        <v>1155</v>
      </c>
      <c r="D1411" t="s">
        <v>19</v>
      </c>
    </row>
    <row r="1412" spans="1:4" x14ac:dyDescent="0.3">
      <c r="A1412" s="1">
        <v>40086</v>
      </c>
      <c r="B1412" t="s">
        <v>17</v>
      </c>
      <c r="C1412">
        <v>872</v>
      </c>
      <c r="D1412" t="s">
        <v>20</v>
      </c>
    </row>
    <row r="1413" spans="1:4" x14ac:dyDescent="0.3">
      <c r="A1413" s="1">
        <v>40086</v>
      </c>
      <c r="B1413" t="s">
        <v>17</v>
      </c>
      <c r="C1413">
        <v>4227</v>
      </c>
      <c r="D1413" t="s">
        <v>21</v>
      </c>
    </row>
    <row r="1414" spans="1:4" x14ac:dyDescent="0.3">
      <c r="A1414" s="1">
        <v>40086</v>
      </c>
      <c r="B1414" t="s">
        <v>17</v>
      </c>
      <c r="C1414">
        <v>1512</v>
      </c>
      <c r="D1414" t="s">
        <v>22</v>
      </c>
    </row>
    <row r="1415" spans="1:4" x14ac:dyDescent="0.3">
      <c r="A1415" s="1">
        <v>40086</v>
      </c>
      <c r="B1415" t="s">
        <v>17</v>
      </c>
      <c r="C1415">
        <v>7175</v>
      </c>
      <c r="D1415" t="s">
        <v>23</v>
      </c>
    </row>
    <row r="1416" spans="1:4" x14ac:dyDescent="0.3">
      <c r="A1416" s="1">
        <v>40086</v>
      </c>
      <c r="B1416" t="s">
        <v>17</v>
      </c>
      <c r="C1416">
        <v>141</v>
      </c>
      <c r="D1416" t="s">
        <v>28</v>
      </c>
    </row>
    <row r="1417" spans="1:4" x14ac:dyDescent="0.3">
      <c r="A1417" s="1">
        <v>40086</v>
      </c>
      <c r="B1417" t="s">
        <v>17</v>
      </c>
      <c r="C1417">
        <v>2535</v>
      </c>
      <c r="D1417" t="s">
        <v>24</v>
      </c>
    </row>
    <row r="1418" spans="1:4" x14ac:dyDescent="0.3">
      <c r="A1418" s="1">
        <v>40086</v>
      </c>
      <c r="B1418" t="s">
        <v>17</v>
      </c>
      <c r="C1418">
        <v>2582</v>
      </c>
      <c r="D1418" t="s">
        <v>25</v>
      </c>
    </row>
    <row r="1419" spans="1:4" x14ac:dyDescent="0.3">
      <c r="A1419" s="1">
        <v>40086</v>
      </c>
      <c r="B1419" t="s">
        <v>17</v>
      </c>
      <c r="C1419">
        <v>1496</v>
      </c>
      <c r="D1419" t="s">
        <v>26</v>
      </c>
    </row>
    <row r="1420" spans="1:4" x14ac:dyDescent="0.3">
      <c r="A1420" s="1">
        <v>40086</v>
      </c>
      <c r="B1420" t="s">
        <v>17</v>
      </c>
      <c r="C1420">
        <v>3335</v>
      </c>
      <c r="D1420" t="s">
        <v>27</v>
      </c>
    </row>
    <row r="1421" spans="1:4" x14ac:dyDescent="0.3">
      <c r="A1421" s="1">
        <v>40178</v>
      </c>
      <c r="B1421" t="s">
        <v>17</v>
      </c>
      <c r="C1421">
        <v>1398</v>
      </c>
      <c r="D1421" t="s">
        <v>18</v>
      </c>
    </row>
    <row r="1422" spans="1:4" x14ac:dyDescent="0.3">
      <c r="A1422" s="1">
        <v>40178</v>
      </c>
      <c r="B1422" t="s">
        <v>17</v>
      </c>
      <c r="C1422">
        <v>1166</v>
      </c>
      <c r="D1422" t="s">
        <v>19</v>
      </c>
    </row>
    <row r="1423" spans="1:4" x14ac:dyDescent="0.3">
      <c r="A1423" s="1">
        <v>40178</v>
      </c>
      <c r="B1423" t="s">
        <v>17</v>
      </c>
      <c r="C1423">
        <v>872</v>
      </c>
      <c r="D1423" t="s">
        <v>20</v>
      </c>
    </row>
    <row r="1424" spans="1:4" x14ac:dyDescent="0.3">
      <c r="A1424" s="1">
        <v>40178</v>
      </c>
      <c r="B1424" t="s">
        <v>17</v>
      </c>
      <c r="C1424">
        <v>4107</v>
      </c>
      <c r="D1424" t="s">
        <v>21</v>
      </c>
    </row>
    <row r="1425" spans="1:4" x14ac:dyDescent="0.3">
      <c r="A1425" s="1">
        <v>40178</v>
      </c>
      <c r="B1425" t="s">
        <v>17</v>
      </c>
      <c r="C1425">
        <v>1523</v>
      </c>
      <c r="D1425" t="s">
        <v>22</v>
      </c>
    </row>
    <row r="1426" spans="1:4" x14ac:dyDescent="0.3">
      <c r="A1426" s="1">
        <v>40178</v>
      </c>
      <c r="B1426" t="s">
        <v>17</v>
      </c>
      <c r="C1426">
        <v>7257</v>
      </c>
      <c r="D1426" t="s">
        <v>23</v>
      </c>
    </row>
    <row r="1427" spans="1:4" x14ac:dyDescent="0.3">
      <c r="A1427" s="1">
        <v>40178</v>
      </c>
      <c r="B1427" t="s">
        <v>17</v>
      </c>
      <c r="C1427">
        <v>132</v>
      </c>
      <c r="D1427" t="s">
        <v>28</v>
      </c>
    </row>
    <row r="1428" spans="1:4" x14ac:dyDescent="0.3">
      <c r="A1428" s="1">
        <v>40178</v>
      </c>
      <c r="B1428" t="s">
        <v>17</v>
      </c>
      <c r="C1428">
        <v>2546</v>
      </c>
      <c r="D1428" t="s">
        <v>24</v>
      </c>
    </row>
    <row r="1429" spans="1:4" x14ac:dyDescent="0.3">
      <c r="A1429" s="1">
        <v>40178</v>
      </c>
      <c r="B1429" t="s">
        <v>17</v>
      </c>
      <c r="C1429">
        <v>2629</v>
      </c>
      <c r="D1429" t="s">
        <v>25</v>
      </c>
    </row>
    <row r="1430" spans="1:4" x14ac:dyDescent="0.3">
      <c r="A1430" s="1">
        <v>40178</v>
      </c>
      <c r="B1430" t="s">
        <v>17</v>
      </c>
      <c r="C1430">
        <v>1558</v>
      </c>
      <c r="D1430" t="s">
        <v>26</v>
      </c>
    </row>
    <row r="1431" spans="1:4" x14ac:dyDescent="0.3">
      <c r="A1431" s="1">
        <v>40178</v>
      </c>
      <c r="B1431" t="s">
        <v>17</v>
      </c>
      <c r="C1431">
        <v>3485</v>
      </c>
      <c r="D1431" t="s">
        <v>27</v>
      </c>
    </row>
    <row r="1432" spans="1:4" x14ac:dyDescent="0.3">
      <c r="A1432" s="1">
        <v>40268</v>
      </c>
      <c r="B1432" t="s">
        <v>17</v>
      </c>
      <c r="C1432">
        <v>1399</v>
      </c>
      <c r="D1432" t="s">
        <v>18</v>
      </c>
    </row>
    <row r="1433" spans="1:4" x14ac:dyDescent="0.3">
      <c r="A1433" s="1">
        <v>40268</v>
      </c>
      <c r="B1433" t="s">
        <v>17</v>
      </c>
      <c r="C1433">
        <v>1194</v>
      </c>
      <c r="D1433" t="s">
        <v>19</v>
      </c>
    </row>
    <row r="1434" spans="1:4" x14ac:dyDescent="0.3">
      <c r="A1434" s="1">
        <v>40268</v>
      </c>
      <c r="B1434" t="s">
        <v>17</v>
      </c>
      <c r="C1434">
        <v>892</v>
      </c>
      <c r="D1434" t="s">
        <v>20</v>
      </c>
    </row>
    <row r="1435" spans="1:4" x14ac:dyDescent="0.3">
      <c r="A1435" s="1">
        <v>40268</v>
      </c>
      <c r="B1435" t="s">
        <v>17</v>
      </c>
      <c r="C1435">
        <v>4088</v>
      </c>
      <c r="D1435" t="s">
        <v>21</v>
      </c>
    </row>
    <row r="1436" spans="1:4" x14ac:dyDescent="0.3">
      <c r="A1436" s="1">
        <v>40268</v>
      </c>
      <c r="B1436" t="s">
        <v>17</v>
      </c>
      <c r="C1436">
        <v>1528</v>
      </c>
      <c r="D1436" t="s">
        <v>22</v>
      </c>
    </row>
    <row r="1437" spans="1:4" x14ac:dyDescent="0.3">
      <c r="A1437" s="1">
        <v>40268</v>
      </c>
      <c r="B1437" t="s">
        <v>17</v>
      </c>
      <c r="C1437">
        <v>7339</v>
      </c>
      <c r="D1437" t="s">
        <v>23</v>
      </c>
    </row>
    <row r="1438" spans="1:4" x14ac:dyDescent="0.3">
      <c r="A1438" s="1">
        <v>40268</v>
      </c>
      <c r="B1438" t="s">
        <v>17</v>
      </c>
      <c r="C1438">
        <v>133</v>
      </c>
      <c r="D1438" t="s">
        <v>28</v>
      </c>
    </row>
    <row r="1439" spans="1:4" x14ac:dyDescent="0.3">
      <c r="A1439" s="1">
        <v>40268</v>
      </c>
      <c r="B1439" t="s">
        <v>17</v>
      </c>
      <c r="C1439">
        <v>2578</v>
      </c>
      <c r="D1439" t="s">
        <v>24</v>
      </c>
    </row>
    <row r="1440" spans="1:4" x14ac:dyDescent="0.3">
      <c r="A1440" s="1">
        <v>40268</v>
      </c>
      <c r="B1440" t="s">
        <v>17</v>
      </c>
      <c r="C1440">
        <v>2631</v>
      </c>
      <c r="D1440" t="s">
        <v>25</v>
      </c>
    </row>
    <row r="1441" spans="1:4" x14ac:dyDescent="0.3">
      <c r="A1441" s="1">
        <v>40268</v>
      </c>
      <c r="B1441" t="s">
        <v>17</v>
      </c>
      <c r="C1441">
        <v>1592</v>
      </c>
      <c r="D1441" t="s">
        <v>26</v>
      </c>
    </row>
    <row r="1442" spans="1:4" x14ac:dyDescent="0.3">
      <c r="A1442" s="1">
        <v>40268</v>
      </c>
      <c r="B1442" t="s">
        <v>17</v>
      </c>
      <c r="C1442">
        <v>3728</v>
      </c>
      <c r="D1442" t="s">
        <v>27</v>
      </c>
    </row>
    <row r="1443" spans="1:4" x14ac:dyDescent="0.3">
      <c r="A1443" s="1">
        <v>40359</v>
      </c>
      <c r="B1443" t="s">
        <v>17</v>
      </c>
      <c r="C1443">
        <v>1421</v>
      </c>
      <c r="D1443" t="s">
        <v>18</v>
      </c>
    </row>
    <row r="1444" spans="1:4" x14ac:dyDescent="0.3">
      <c r="A1444" s="1">
        <v>40359</v>
      </c>
      <c r="B1444" t="s">
        <v>17</v>
      </c>
      <c r="C1444">
        <v>1222</v>
      </c>
      <c r="D1444" t="s">
        <v>19</v>
      </c>
    </row>
    <row r="1445" spans="1:4" x14ac:dyDescent="0.3">
      <c r="A1445" s="1">
        <v>40359</v>
      </c>
      <c r="B1445" t="s">
        <v>17</v>
      </c>
      <c r="C1445">
        <v>921</v>
      </c>
      <c r="D1445" t="s">
        <v>20</v>
      </c>
    </row>
    <row r="1446" spans="1:4" x14ac:dyDescent="0.3">
      <c r="A1446" s="1">
        <v>40359</v>
      </c>
      <c r="B1446" t="s">
        <v>17</v>
      </c>
      <c r="C1446">
        <v>4137</v>
      </c>
      <c r="D1446" t="s">
        <v>21</v>
      </c>
    </row>
    <row r="1447" spans="1:4" x14ac:dyDescent="0.3">
      <c r="A1447" s="1">
        <v>40359</v>
      </c>
      <c r="B1447" t="s">
        <v>17</v>
      </c>
      <c r="C1447">
        <v>1538</v>
      </c>
      <c r="D1447" t="s">
        <v>22</v>
      </c>
    </row>
    <row r="1448" spans="1:4" x14ac:dyDescent="0.3">
      <c r="A1448" s="1">
        <v>40359</v>
      </c>
      <c r="B1448" t="s">
        <v>17</v>
      </c>
      <c r="C1448">
        <v>7421</v>
      </c>
      <c r="D1448" t="s">
        <v>23</v>
      </c>
    </row>
    <row r="1449" spans="1:4" x14ac:dyDescent="0.3">
      <c r="A1449" s="1">
        <v>40359</v>
      </c>
      <c r="B1449" t="s">
        <v>17</v>
      </c>
      <c r="C1449">
        <v>130</v>
      </c>
      <c r="D1449" t="s">
        <v>28</v>
      </c>
    </row>
    <row r="1450" spans="1:4" x14ac:dyDescent="0.3">
      <c r="A1450" s="1">
        <v>40359</v>
      </c>
      <c r="B1450" t="s">
        <v>17</v>
      </c>
      <c r="C1450">
        <v>2531</v>
      </c>
      <c r="D1450" t="s">
        <v>24</v>
      </c>
    </row>
    <row r="1451" spans="1:4" x14ac:dyDescent="0.3">
      <c r="A1451" s="1">
        <v>40359</v>
      </c>
      <c r="B1451" t="s">
        <v>17</v>
      </c>
      <c r="C1451">
        <v>2608</v>
      </c>
      <c r="D1451" t="s">
        <v>25</v>
      </c>
    </row>
    <row r="1452" spans="1:4" x14ac:dyDescent="0.3">
      <c r="A1452" s="1">
        <v>40359</v>
      </c>
      <c r="B1452" t="s">
        <v>17</v>
      </c>
      <c r="C1452">
        <v>1594</v>
      </c>
      <c r="D1452" t="s">
        <v>26</v>
      </c>
    </row>
    <row r="1453" spans="1:4" x14ac:dyDescent="0.3">
      <c r="A1453" s="1">
        <v>40359</v>
      </c>
      <c r="B1453" t="s">
        <v>17</v>
      </c>
      <c r="C1453">
        <v>3682</v>
      </c>
      <c r="D1453" t="s">
        <v>27</v>
      </c>
    </row>
    <row r="1454" spans="1:4" x14ac:dyDescent="0.3">
      <c r="A1454" s="1">
        <v>40451</v>
      </c>
      <c r="B1454" t="s">
        <v>17</v>
      </c>
      <c r="C1454">
        <v>1427</v>
      </c>
      <c r="D1454" t="s">
        <v>18</v>
      </c>
    </row>
    <row r="1455" spans="1:4" x14ac:dyDescent="0.3">
      <c r="A1455" s="1">
        <v>40451</v>
      </c>
      <c r="B1455" t="s">
        <v>17</v>
      </c>
      <c r="C1455">
        <v>1220</v>
      </c>
      <c r="D1455" t="s">
        <v>19</v>
      </c>
    </row>
    <row r="1456" spans="1:4" x14ac:dyDescent="0.3">
      <c r="A1456" s="1">
        <v>40451</v>
      </c>
      <c r="B1456" t="s">
        <v>17</v>
      </c>
      <c r="C1456">
        <v>960</v>
      </c>
      <c r="D1456" t="s">
        <v>20</v>
      </c>
    </row>
    <row r="1457" spans="1:4" x14ac:dyDescent="0.3">
      <c r="A1457" s="1">
        <v>40451</v>
      </c>
      <c r="B1457" t="s">
        <v>17</v>
      </c>
      <c r="C1457">
        <v>4187</v>
      </c>
      <c r="D1457" t="s">
        <v>21</v>
      </c>
    </row>
    <row r="1458" spans="1:4" x14ac:dyDescent="0.3">
      <c r="A1458" s="1">
        <v>40451</v>
      </c>
      <c r="B1458" t="s">
        <v>17</v>
      </c>
      <c r="C1458">
        <v>1564</v>
      </c>
      <c r="D1458" t="s">
        <v>22</v>
      </c>
    </row>
    <row r="1459" spans="1:4" x14ac:dyDescent="0.3">
      <c r="A1459" s="1">
        <v>40451</v>
      </c>
      <c r="B1459" t="s">
        <v>17</v>
      </c>
      <c r="C1459">
        <v>7527</v>
      </c>
      <c r="D1459" t="s">
        <v>23</v>
      </c>
    </row>
    <row r="1460" spans="1:4" x14ac:dyDescent="0.3">
      <c r="A1460" s="1">
        <v>40451</v>
      </c>
      <c r="B1460" t="s">
        <v>17</v>
      </c>
      <c r="C1460">
        <v>142</v>
      </c>
      <c r="D1460" t="s">
        <v>28</v>
      </c>
    </row>
    <row r="1461" spans="1:4" x14ac:dyDescent="0.3">
      <c r="A1461" s="1">
        <v>40451</v>
      </c>
      <c r="B1461" t="s">
        <v>17</v>
      </c>
      <c r="C1461">
        <v>2525</v>
      </c>
      <c r="D1461" t="s">
        <v>24</v>
      </c>
    </row>
    <row r="1462" spans="1:4" x14ac:dyDescent="0.3">
      <c r="A1462" s="1">
        <v>40451</v>
      </c>
      <c r="B1462" t="s">
        <v>17</v>
      </c>
      <c r="C1462">
        <v>2594</v>
      </c>
      <c r="D1462" t="s">
        <v>25</v>
      </c>
    </row>
    <row r="1463" spans="1:4" x14ac:dyDescent="0.3">
      <c r="A1463" s="1">
        <v>40451</v>
      </c>
      <c r="B1463" t="s">
        <v>17</v>
      </c>
      <c r="C1463">
        <v>1603</v>
      </c>
      <c r="D1463" t="s">
        <v>26</v>
      </c>
    </row>
    <row r="1464" spans="1:4" x14ac:dyDescent="0.3">
      <c r="A1464" s="1">
        <v>40451</v>
      </c>
      <c r="B1464" t="s">
        <v>17</v>
      </c>
      <c r="C1464">
        <v>3694</v>
      </c>
      <c r="D1464" t="s">
        <v>27</v>
      </c>
    </row>
    <row r="1465" spans="1:4" x14ac:dyDescent="0.3">
      <c r="A1465" s="1">
        <v>40543</v>
      </c>
      <c r="B1465" t="s">
        <v>17</v>
      </c>
      <c r="C1465">
        <v>1477</v>
      </c>
      <c r="D1465" t="s">
        <v>18</v>
      </c>
    </row>
    <row r="1466" spans="1:4" x14ac:dyDescent="0.3">
      <c r="A1466" s="1">
        <v>40543</v>
      </c>
      <c r="B1466" t="s">
        <v>17</v>
      </c>
      <c r="C1466">
        <v>1220</v>
      </c>
      <c r="D1466" t="s">
        <v>19</v>
      </c>
    </row>
    <row r="1467" spans="1:4" x14ac:dyDescent="0.3">
      <c r="A1467" s="1">
        <v>40543</v>
      </c>
      <c r="B1467" t="s">
        <v>17</v>
      </c>
      <c r="C1467">
        <v>988</v>
      </c>
      <c r="D1467" t="s">
        <v>20</v>
      </c>
    </row>
    <row r="1468" spans="1:4" x14ac:dyDescent="0.3">
      <c r="A1468" s="1">
        <v>40543</v>
      </c>
      <c r="B1468" t="s">
        <v>17</v>
      </c>
      <c r="C1468">
        <v>4352</v>
      </c>
      <c r="D1468" t="s">
        <v>21</v>
      </c>
    </row>
    <row r="1469" spans="1:4" x14ac:dyDescent="0.3">
      <c r="A1469" s="1">
        <v>40543</v>
      </c>
      <c r="B1469" t="s">
        <v>17</v>
      </c>
      <c r="C1469">
        <v>1512</v>
      </c>
      <c r="D1469" t="s">
        <v>22</v>
      </c>
    </row>
    <row r="1470" spans="1:4" x14ac:dyDescent="0.3">
      <c r="A1470" s="1">
        <v>40543</v>
      </c>
      <c r="B1470" t="s">
        <v>17</v>
      </c>
      <c r="C1470">
        <v>7616</v>
      </c>
      <c r="D1470" t="s">
        <v>23</v>
      </c>
    </row>
    <row r="1471" spans="1:4" x14ac:dyDescent="0.3">
      <c r="A1471" s="1">
        <v>40543</v>
      </c>
      <c r="B1471" t="s">
        <v>17</v>
      </c>
      <c r="C1471">
        <v>134</v>
      </c>
      <c r="D1471" t="s">
        <v>28</v>
      </c>
    </row>
    <row r="1472" spans="1:4" x14ac:dyDescent="0.3">
      <c r="A1472" s="1">
        <v>40543</v>
      </c>
      <c r="B1472" t="s">
        <v>17</v>
      </c>
      <c r="C1472">
        <v>2552</v>
      </c>
      <c r="D1472" t="s">
        <v>24</v>
      </c>
    </row>
    <row r="1473" spans="1:4" x14ac:dyDescent="0.3">
      <c r="A1473" s="1">
        <v>40543</v>
      </c>
      <c r="B1473" t="s">
        <v>17</v>
      </c>
      <c r="C1473">
        <v>2615</v>
      </c>
      <c r="D1473" t="s">
        <v>25</v>
      </c>
    </row>
    <row r="1474" spans="1:4" x14ac:dyDescent="0.3">
      <c r="A1474" s="1">
        <v>40543</v>
      </c>
      <c r="B1474" t="s">
        <v>17</v>
      </c>
      <c r="C1474">
        <v>1660</v>
      </c>
      <c r="D1474" t="s">
        <v>26</v>
      </c>
    </row>
    <row r="1475" spans="1:4" x14ac:dyDescent="0.3">
      <c r="A1475" s="1">
        <v>40543</v>
      </c>
      <c r="B1475" t="s">
        <v>17</v>
      </c>
      <c r="C1475">
        <v>3746</v>
      </c>
      <c r="D1475" t="s">
        <v>27</v>
      </c>
    </row>
    <row r="1476" spans="1:4" x14ac:dyDescent="0.3">
      <c r="A1476" s="1">
        <v>40633</v>
      </c>
      <c r="B1476" t="s">
        <v>17</v>
      </c>
      <c r="C1476">
        <v>1482</v>
      </c>
      <c r="D1476" t="s">
        <v>18</v>
      </c>
    </row>
    <row r="1477" spans="1:4" x14ac:dyDescent="0.3">
      <c r="A1477" s="1">
        <v>40633</v>
      </c>
      <c r="B1477" t="s">
        <v>17</v>
      </c>
      <c r="C1477">
        <v>1213</v>
      </c>
      <c r="D1477" t="s">
        <v>19</v>
      </c>
    </row>
    <row r="1478" spans="1:4" x14ac:dyDescent="0.3">
      <c r="A1478" s="1">
        <v>40633</v>
      </c>
      <c r="B1478" t="s">
        <v>17</v>
      </c>
      <c r="C1478">
        <v>1016</v>
      </c>
      <c r="D1478" t="s">
        <v>20</v>
      </c>
    </row>
    <row r="1479" spans="1:4" x14ac:dyDescent="0.3">
      <c r="A1479" s="1">
        <v>40633</v>
      </c>
      <c r="B1479" t="s">
        <v>17</v>
      </c>
      <c r="C1479">
        <v>4411</v>
      </c>
      <c r="D1479" t="s">
        <v>21</v>
      </c>
    </row>
    <row r="1480" spans="1:4" x14ac:dyDescent="0.3">
      <c r="A1480" s="1">
        <v>40633</v>
      </c>
      <c r="B1480" t="s">
        <v>17</v>
      </c>
      <c r="C1480">
        <v>1557</v>
      </c>
      <c r="D1480" t="s">
        <v>22</v>
      </c>
    </row>
    <row r="1481" spans="1:4" x14ac:dyDescent="0.3">
      <c r="A1481" s="1">
        <v>40633</v>
      </c>
      <c r="B1481" t="s">
        <v>17</v>
      </c>
      <c r="C1481">
        <v>7712</v>
      </c>
      <c r="D1481" t="s">
        <v>23</v>
      </c>
    </row>
    <row r="1482" spans="1:4" x14ac:dyDescent="0.3">
      <c r="A1482" s="1">
        <v>40633</v>
      </c>
      <c r="B1482" t="s">
        <v>17</v>
      </c>
      <c r="C1482">
        <v>149</v>
      </c>
      <c r="D1482" t="s">
        <v>28</v>
      </c>
    </row>
    <row r="1483" spans="1:4" x14ac:dyDescent="0.3">
      <c r="A1483" s="1">
        <v>40633</v>
      </c>
      <c r="B1483" t="s">
        <v>17</v>
      </c>
      <c r="C1483">
        <v>2589</v>
      </c>
      <c r="D1483" t="s">
        <v>24</v>
      </c>
    </row>
    <row r="1484" spans="1:4" x14ac:dyDescent="0.3">
      <c r="A1484" s="1">
        <v>40633</v>
      </c>
      <c r="B1484" t="s">
        <v>17</v>
      </c>
      <c r="C1484">
        <v>2678</v>
      </c>
      <c r="D1484" t="s">
        <v>25</v>
      </c>
    </row>
    <row r="1485" spans="1:4" x14ac:dyDescent="0.3">
      <c r="A1485" s="1">
        <v>40633</v>
      </c>
      <c r="B1485" t="s">
        <v>17</v>
      </c>
      <c r="C1485">
        <v>1704</v>
      </c>
      <c r="D1485" t="s">
        <v>26</v>
      </c>
    </row>
    <row r="1486" spans="1:4" x14ac:dyDescent="0.3">
      <c r="A1486" s="1">
        <v>40633</v>
      </c>
      <c r="B1486" t="s">
        <v>17</v>
      </c>
      <c r="C1486">
        <v>3822</v>
      </c>
      <c r="D1486" t="s">
        <v>27</v>
      </c>
    </row>
    <row r="1487" spans="1:4" x14ac:dyDescent="0.3">
      <c r="A1487" s="1">
        <v>40724</v>
      </c>
      <c r="B1487" t="s">
        <v>17</v>
      </c>
      <c r="C1487">
        <v>1474</v>
      </c>
      <c r="D1487" t="s">
        <v>18</v>
      </c>
    </row>
    <row r="1488" spans="1:4" x14ac:dyDescent="0.3">
      <c r="A1488" s="1">
        <v>40724</v>
      </c>
      <c r="B1488" t="s">
        <v>17</v>
      </c>
      <c r="C1488">
        <v>1221</v>
      </c>
      <c r="D1488" t="s">
        <v>19</v>
      </c>
    </row>
    <row r="1489" spans="1:4" x14ac:dyDescent="0.3">
      <c r="A1489" s="1">
        <v>40724</v>
      </c>
      <c r="B1489" t="s">
        <v>17</v>
      </c>
      <c r="C1489">
        <v>1006</v>
      </c>
      <c r="D1489" t="s">
        <v>20</v>
      </c>
    </row>
    <row r="1490" spans="1:4" x14ac:dyDescent="0.3">
      <c r="A1490" s="1">
        <v>40724</v>
      </c>
      <c r="B1490" t="s">
        <v>17</v>
      </c>
      <c r="C1490">
        <v>4432</v>
      </c>
      <c r="D1490" t="s">
        <v>21</v>
      </c>
    </row>
    <row r="1491" spans="1:4" x14ac:dyDescent="0.3">
      <c r="A1491" s="1">
        <v>40724</v>
      </c>
      <c r="B1491" t="s">
        <v>17</v>
      </c>
      <c r="C1491">
        <v>1579</v>
      </c>
      <c r="D1491" t="s">
        <v>22</v>
      </c>
    </row>
    <row r="1492" spans="1:4" x14ac:dyDescent="0.3">
      <c r="A1492" s="1">
        <v>40724</v>
      </c>
      <c r="B1492" t="s">
        <v>17</v>
      </c>
      <c r="C1492">
        <v>7794</v>
      </c>
      <c r="D1492" t="s">
        <v>23</v>
      </c>
    </row>
    <row r="1493" spans="1:4" x14ac:dyDescent="0.3">
      <c r="A1493" s="1">
        <v>40724</v>
      </c>
      <c r="B1493" t="s">
        <v>17</v>
      </c>
      <c r="C1493">
        <v>159</v>
      </c>
      <c r="D1493" t="s">
        <v>28</v>
      </c>
    </row>
    <row r="1494" spans="1:4" x14ac:dyDescent="0.3">
      <c r="A1494" s="1">
        <v>40724</v>
      </c>
      <c r="B1494" t="s">
        <v>17</v>
      </c>
      <c r="C1494">
        <v>2662</v>
      </c>
      <c r="D1494" t="s">
        <v>24</v>
      </c>
    </row>
    <row r="1495" spans="1:4" x14ac:dyDescent="0.3">
      <c r="A1495" s="1">
        <v>40724</v>
      </c>
      <c r="B1495" t="s">
        <v>17</v>
      </c>
      <c r="C1495">
        <v>2821</v>
      </c>
      <c r="D1495" t="s">
        <v>25</v>
      </c>
    </row>
    <row r="1496" spans="1:4" x14ac:dyDescent="0.3">
      <c r="A1496" s="1">
        <v>40724</v>
      </c>
      <c r="B1496" t="s">
        <v>17</v>
      </c>
      <c r="C1496">
        <v>1738</v>
      </c>
      <c r="D1496" t="s">
        <v>26</v>
      </c>
    </row>
    <row r="1497" spans="1:4" x14ac:dyDescent="0.3">
      <c r="A1497" s="1">
        <v>40724</v>
      </c>
      <c r="B1497" t="s">
        <v>17</v>
      </c>
      <c r="C1497">
        <v>3952</v>
      </c>
      <c r="D1497" t="s">
        <v>27</v>
      </c>
    </row>
    <row r="1498" spans="1:4" x14ac:dyDescent="0.3">
      <c r="A1498" s="1">
        <v>40816</v>
      </c>
      <c r="B1498" t="s">
        <v>17</v>
      </c>
      <c r="C1498">
        <v>1495</v>
      </c>
      <c r="D1498" t="s">
        <v>18</v>
      </c>
    </row>
    <row r="1499" spans="1:4" x14ac:dyDescent="0.3">
      <c r="A1499" s="1">
        <v>40816</v>
      </c>
      <c r="B1499" t="s">
        <v>17</v>
      </c>
      <c r="C1499">
        <v>1253</v>
      </c>
      <c r="D1499" t="s">
        <v>19</v>
      </c>
    </row>
    <row r="1500" spans="1:4" x14ac:dyDescent="0.3">
      <c r="A1500" s="1">
        <v>40816</v>
      </c>
      <c r="B1500" t="s">
        <v>17</v>
      </c>
      <c r="C1500">
        <v>984</v>
      </c>
      <c r="D1500" t="s">
        <v>20</v>
      </c>
    </row>
    <row r="1501" spans="1:4" x14ac:dyDescent="0.3">
      <c r="A1501" s="1">
        <v>40816</v>
      </c>
      <c r="B1501" t="s">
        <v>17</v>
      </c>
      <c r="C1501">
        <v>4497</v>
      </c>
      <c r="D1501" t="s">
        <v>21</v>
      </c>
    </row>
    <row r="1502" spans="1:4" x14ac:dyDescent="0.3">
      <c r="A1502" s="1">
        <v>40816</v>
      </c>
      <c r="B1502" t="s">
        <v>17</v>
      </c>
      <c r="C1502">
        <v>1580</v>
      </c>
      <c r="D1502" t="s">
        <v>22</v>
      </c>
    </row>
    <row r="1503" spans="1:4" x14ac:dyDescent="0.3">
      <c r="A1503" s="1">
        <v>40816</v>
      </c>
      <c r="B1503" t="s">
        <v>17</v>
      </c>
      <c r="C1503">
        <v>7881</v>
      </c>
      <c r="D1503" t="s">
        <v>23</v>
      </c>
    </row>
    <row r="1504" spans="1:4" x14ac:dyDescent="0.3">
      <c r="A1504" s="1">
        <v>40816</v>
      </c>
      <c r="B1504" t="s">
        <v>17</v>
      </c>
      <c r="C1504">
        <v>175</v>
      </c>
      <c r="D1504" t="s">
        <v>28</v>
      </c>
    </row>
    <row r="1505" spans="1:4" x14ac:dyDescent="0.3">
      <c r="A1505" s="1">
        <v>40816</v>
      </c>
      <c r="B1505" t="s">
        <v>17</v>
      </c>
      <c r="C1505">
        <v>2738</v>
      </c>
      <c r="D1505" t="s">
        <v>24</v>
      </c>
    </row>
    <row r="1506" spans="1:4" x14ac:dyDescent="0.3">
      <c r="A1506" s="1">
        <v>40816</v>
      </c>
      <c r="B1506" t="s">
        <v>17</v>
      </c>
      <c r="C1506">
        <v>2870</v>
      </c>
      <c r="D1506" t="s">
        <v>25</v>
      </c>
    </row>
    <row r="1507" spans="1:4" x14ac:dyDescent="0.3">
      <c r="A1507" s="1">
        <v>40816</v>
      </c>
      <c r="B1507" t="s">
        <v>17</v>
      </c>
      <c r="C1507">
        <v>1805</v>
      </c>
      <c r="D1507" t="s">
        <v>26</v>
      </c>
    </row>
    <row r="1508" spans="1:4" x14ac:dyDescent="0.3">
      <c r="A1508" s="1">
        <v>40816</v>
      </c>
      <c r="B1508" t="s">
        <v>17</v>
      </c>
      <c r="C1508">
        <v>3942</v>
      </c>
      <c r="D1508" t="s">
        <v>27</v>
      </c>
    </row>
    <row r="1509" spans="1:4" x14ac:dyDescent="0.3">
      <c r="A1509" s="1">
        <v>40908</v>
      </c>
      <c r="B1509" t="s">
        <v>17</v>
      </c>
      <c r="C1509">
        <v>1485</v>
      </c>
      <c r="D1509" t="s">
        <v>18</v>
      </c>
    </row>
    <row r="1510" spans="1:4" x14ac:dyDescent="0.3">
      <c r="A1510" s="1">
        <v>40908</v>
      </c>
      <c r="B1510" t="s">
        <v>17</v>
      </c>
      <c r="C1510">
        <v>1248</v>
      </c>
      <c r="D1510" t="s">
        <v>19</v>
      </c>
    </row>
    <row r="1511" spans="1:4" x14ac:dyDescent="0.3">
      <c r="A1511" s="1">
        <v>40908</v>
      </c>
      <c r="B1511" t="s">
        <v>17</v>
      </c>
      <c r="C1511">
        <v>978</v>
      </c>
      <c r="D1511" t="s">
        <v>20</v>
      </c>
    </row>
    <row r="1512" spans="1:4" x14ac:dyDescent="0.3">
      <c r="A1512" s="1">
        <v>40908</v>
      </c>
      <c r="B1512" t="s">
        <v>17</v>
      </c>
      <c r="C1512">
        <v>4518</v>
      </c>
      <c r="D1512" t="s">
        <v>21</v>
      </c>
    </row>
    <row r="1513" spans="1:4" x14ac:dyDescent="0.3">
      <c r="A1513" s="1">
        <v>40908</v>
      </c>
      <c r="B1513" t="s">
        <v>17</v>
      </c>
      <c r="C1513">
        <v>1624</v>
      </c>
      <c r="D1513" t="s">
        <v>22</v>
      </c>
    </row>
    <row r="1514" spans="1:4" x14ac:dyDescent="0.3">
      <c r="A1514" s="1">
        <v>40908</v>
      </c>
      <c r="B1514" t="s">
        <v>17</v>
      </c>
      <c r="C1514">
        <v>7926</v>
      </c>
      <c r="D1514" t="s">
        <v>23</v>
      </c>
    </row>
    <row r="1515" spans="1:4" x14ac:dyDescent="0.3">
      <c r="A1515" s="1">
        <v>40908</v>
      </c>
      <c r="B1515" t="s">
        <v>17</v>
      </c>
      <c r="C1515">
        <v>199</v>
      </c>
      <c r="D1515" t="s">
        <v>28</v>
      </c>
    </row>
    <row r="1516" spans="1:4" x14ac:dyDescent="0.3">
      <c r="A1516" s="1">
        <v>40908</v>
      </c>
      <c r="B1516" t="s">
        <v>17</v>
      </c>
      <c r="C1516">
        <v>2795</v>
      </c>
      <c r="D1516" t="s">
        <v>24</v>
      </c>
    </row>
    <row r="1517" spans="1:4" x14ac:dyDescent="0.3">
      <c r="A1517" s="1">
        <v>40908</v>
      </c>
      <c r="B1517" t="s">
        <v>17</v>
      </c>
      <c r="C1517">
        <v>2817</v>
      </c>
      <c r="D1517" t="s">
        <v>25</v>
      </c>
    </row>
    <row r="1518" spans="1:4" x14ac:dyDescent="0.3">
      <c r="A1518" s="1">
        <v>40908</v>
      </c>
      <c r="B1518" t="s">
        <v>17</v>
      </c>
      <c r="C1518">
        <v>1789</v>
      </c>
      <c r="D1518" t="s">
        <v>26</v>
      </c>
    </row>
    <row r="1519" spans="1:4" x14ac:dyDescent="0.3">
      <c r="A1519" s="1">
        <v>40908</v>
      </c>
      <c r="B1519" t="s">
        <v>17</v>
      </c>
      <c r="C1519">
        <v>3942</v>
      </c>
      <c r="D1519" t="s">
        <v>27</v>
      </c>
    </row>
    <row r="1520" spans="1:4" x14ac:dyDescent="0.3">
      <c r="A1520" s="1">
        <v>40999</v>
      </c>
      <c r="B1520" t="s">
        <v>17</v>
      </c>
      <c r="C1520">
        <v>1495</v>
      </c>
      <c r="D1520" t="s">
        <v>18</v>
      </c>
    </row>
    <row r="1521" spans="1:4" x14ac:dyDescent="0.3">
      <c r="A1521" s="1">
        <v>40999</v>
      </c>
      <c r="B1521" t="s">
        <v>17</v>
      </c>
      <c r="C1521">
        <v>1294</v>
      </c>
      <c r="D1521" t="s">
        <v>19</v>
      </c>
    </row>
    <row r="1522" spans="1:4" x14ac:dyDescent="0.3">
      <c r="A1522" s="1">
        <v>40999</v>
      </c>
      <c r="B1522" t="s">
        <v>17</v>
      </c>
      <c r="C1522">
        <v>975</v>
      </c>
      <c r="D1522" t="s">
        <v>20</v>
      </c>
    </row>
    <row r="1523" spans="1:4" x14ac:dyDescent="0.3">
      <c r="A1523" s="1">
        <v>40999</v>
      </c>
      <c r="B1523" t="s">
        <v>17</v>
      </c>
      <c r="C1523">
        <v>4504</v>
      </c>
      <c r="D1523" t="s">
        <v>21</v>
      </c>
    </row>
    <row r="1524" spans="1:4" x14ac:dyDescent="0.3">
      <c r="A1524" s="1">
        <v>40999</v>
      </c>
      <c r="B1524" t="s">
        <v>17</v>
      </c>
      <c r="C1524">
        <v>1630</v>
      </c>
      <c r="D1524" t="s">
        <v>22</v>
      </c>
    </row>
    <row r="1525" spans="1:4" x14ac:dyDescent="0.3">
      <c r="A1525" s="1">
        <v>40999</v>
      </c>
      <c r="B1525" t="s">
        <v>17</v>
      </c>
      <c r="C1525">
        <v>8079</v>
      </c>
      <c r="D1525" t="s">
        <v>23</v>
      </c>
    </row>
    <row r="1526" spans="1:4" x14ac:dyDescent="0.3">
      <c r="A1526" s="1">
        <v>40999</v>
      </c>
      <c r="B1526" t="s">
        <v>17</v>
      </c>
      <c r="C1526">
        <v>208</v>
      </c>
      <c r="D1526" t="s">
        <v>28</v>
      </c>
    </row>
    <row r="1527" spans="1:4" x14ac:dyDescent="0.3">
      <c r="A1527" s="1">
        <v>40999</v>
      </c>
      <c r="B1527" t="s">
        <v>17</v>
      </c>
      <c r="C1527">
        <v>2822</v>
      </c>
      <c r="D1527" t="s">
        <v>24</v>
      </c>
    </row>
    <row r="1528" spans="1:4" x14ac:dyDescent="0.3">
      <c r="A1528" s="1">
        <v>40999</v>
      </c>
      <c r="B1528" t="s">
        <v>17</v>
      </c>
      <c r="C1528">
        <v>2871</v>
      </c>
      <c r="D1528" t="s">
        <v>25</v>
      </c>
    </row>
    <row r="1529" spans="1:4" x14ac:dyDescent="0.3">
      <c r="A1529" s="1">
        <v>40999</v>
      </c>
      <c r="B1529" t="s">
        <v>17</v>
      </c>
      <c r="C1529">
        <v>1899</v>
      </c>
      <c r="D1529" t="s">
        <v>26</v>
      </c>
    </row>
    <row r="1530" spans="1:4" x14ac:dyDescent="0.3">
      <c r="A1530" s="1">
        <v>40999</v>
      </c>
      <c r="B1530" t="s">
        <v>17</v>
      </c>
      <c r="C1530">
        <v>3993</v>
      </c>
      <c r="D1530" t="s">
        <v>27</v>
      </c>
    </row>
    <row r="1531" spans="1:4" x14ac:dyDescent="0.3">
      <c r="A1531" s="1">
        <v>41090</v>
      </c>
      <c r="B1531" t="s">
        <v>17</v>
      </c>
      <c r="C1531">
        <v>1521</v>
      </c>
      <c r="D1531" t="s">
        <v>18</v>
      </c>
    </row>
    <row r="1532" spans="1:4" x14ac:dyDescent="0.3">
      <c r="A1532" s="1">
        <v>41090</v>
      </c>
      <c r="B1532" t="s">
        <v>17</v>
      </c>
      <c r="C1532">
        <v>1292</v>
      </c>
      <c r="D1532" t="s">
        <v>19</v>
      </c>
    </row>
    <row r="1533" spans="1:4" x14ac:dyDescent="0.3">
      <c r="A1533" s="1">
        <v>41090</v>
      </c>
      <c r="B1533" t="s">
        <v>17</v>
      </c>
      <c r="C1533">
        <v>975</v>
      </c>
      <c r="D1533" t="s">
        <v>20</v>
      </c>
    </row>
    <row r="1534" spans="1:4" x14ac:dyDescent="0.3">
      <c r="A1534" s="1">
        <v>41090</v>
      </c>
      <c r="B1534" t="s">
        <v>17</v>
      </c>
      <c r="C1534">
        <v>4510</v>
      </c>
      <c r="D1534" t="s">
        <v>21</v>
      </c>
    </row>
    <row r="1535" spans="1:4" x14ac:dyDescent="0.3">
      <c r="A1535" s="1">
        <v>41090</v>
      </c>
      <c r="B1535" t="s">
        <v>17</v>
      </c>
      <c r="C1535">
        <v>1615</v>
      </c>
      <c r="D1535" t="s">
        <v>22</v>
      </c>
    </row>
    <row r="1536" spans="1:4" x14ac:dyDescent="0.3">
      <c r="A1536" s="1">
        <v>41090</v>
      </c>
      <c r="B1536" t="s">
        <v>17</v>
      </c>
      <c r="C1536">
        <v>8173</v>
      </c>
      <c r="D1536" t="s">
        <v>23</v>
      </c>
    </row>
    <row r="1537" spans="1:4" x14ac:dyDescent="0.3">
      <c r="A1537" s="1">
        <v>41090</v>
      </c>
      <c r="B1537" t="s">
        <v>17</v>
      </c>
      <c r="C1537">
        <v>234</v>
      </c>
      <c r="D1537" t="s">
        <v>28</v>
      </c>
    </row>
    <row r="1538" spans="1:4" x14ac:dyDescent="0.3">
      <c r="A1538" s="1">
        <v>41090</v>
      </c>
      <c r="B1538" t="s">
        <v>17</v>
      </c>
      <c r="C1538">
        <v>2830</v>
      </c>
      <c r="D1538" t="s">
        <v>24</v>
      </c>
    </row>
    <row r="1539" spans="1:4" x14ac:dyDescent="0.3">
      <c r="A1539" s="1">
        <v>41090</v>
      </c>
      <c r="B1539" t="s">
        <v>17</v>
      </c>
      <c r="C1539">
        <v>2802</v>
      </c>
      <c r="D1539" t="s">
        <v>25</v>
      </c>
    </row>
    <row r="1540" spans="1:4" x14ac:dyDescent="0.3">
      <c r="A1540" s="1">
        <v>41090</v>
      </c>
      <c r="B1540" t="s">
        <v>17</v>
      </c>
      <c r="C1540">
        <v>1850</v>
      </c>
      <c r="D1540" t="s">
        <v>26</v>
      </c>
    </row>
    <row r="1541" spans="1:4" x14ac:dyDescent="0.3">
      <c r="A1541" s="1">
        <v>41090</v>
      </c>
      <c r="B1541" t="s">
        <v>17</v>
      </c>
      <c r="C1541">
        <v>4052</v>
      </c>
      <c r="D1541" t="s">
        <v>27</v>
      </c>
    </row>
    <row r="1542" spans="1:4" x14ac:dyDescent="0.3">
      <c r="A1542" s="1">
        <v>41182</v>
      </c>
      <c r="B1542" t="s">
        <v>17</v>
      </c>
      <c r="C1542">
        <v>1519</v>
      </c>
      <c r="D1542" t="s">
        <v>18</v>
      </c>
    </row>
    <row r="1543" spans="1:4" x14ac:dyDescent="0.3">
      <c r="A1543" s="1">
        <v>41182</v>
      </c>
      <c r="B1543" t="s">
        <v>17</v>
      </c>
      <c r="C1543">
        <v>1298</v>
      </c>
      <c r="D1543" t="s">
        <v>19</v>
      </c>
    </row>
    <row r="1544" spans="1:4" x14ac:dyDescent="0.3">
      <c r="A1544" s="1">
        <v>41182</v>
      </c>
      <c r="B1544" t="s">
        <v>17</v>
      </c>
      <c r="C1544">
        <v>994</v>
      </c>
      <c r="D1544" t="s">
        <v>20</v>
      </c>
    </row>
    <row r="1545" spans="1:4" x14ac:dyDescent="0.3">
      <c r="A1545" s="1">
        <v>41182</v>
      </c>
      <c r="B1545" t="s">
        <v>17</v>
      </c>
      <c r="C1545">
        <v>4477</v>
      </c>
      <c r="D1545" t="s">
        <v>21</v>
      </c>
    </row>
    <row r="1546" spans="1:4" x14ac:dyDescent="0.3">
      <c r="A1546" s="1">
        <v>41182</v>
      </c>
      <c r="B1546" t="s">
        <v>17</v>
      </c>
      <c r="C1546">
        <v>1631</v>
      </c>
      <c r="D1546" t="s">
        <v>22</v>
      </c>
    </row>
    <row r="1547" spans="1:4" x14ac:dyDescent="0.3">
      <c r="A1547" s="1">
        <v>41182</v>
      </c>
      <c r="B1547" t="s">
        <v>17</v>
      </c>
      <c r="C1547">
        <v>8236</v>
      </c>
      <c r="D1547" t="s">
        <v>23</v>
      </c>
    </row>
    <row r="1548" spans="1:4" x14ac:dyDescent="0.3">
      <c r="A1548" s="1">
        <v>41182</v>
      </c>
      <c r="B1548" t="s">
        <v>17</v>
      </c>
      <c r="C1548">
        <v>227</v>
      </c>
      <c r="D1548" t="s">
        <v>28</v>
      </c>
    </row>
    <row r="1549" spans="1:4" x14ac:dyDescent="0.3">
      <c r="A1549" s="1">
        <v>41182</v>
      </c>
      <c r="B1549" t="s">
        <v>17</v>
      </c>
      <c r="C1549">
        <v>2852</v>
      </c>
      <c r="D1549" t="s">
        <v>24</v>
      </c>
    </row>
    <row r="1550" spans="1:4" x14ac:dyDescent="0.3">
      <c r="A1550" s="1">
        <v>41182</v>
      </c>
      <c r="B1550" t="s">
        <v>17</v>
      </c>
      <c r="C1550">
        <v>2787</v>
      </c>
      <c r="D1550" t="s">
        <v>25</v>
      </c>
    </row>
    <row r="1551" spans="1:4" x14ac:dyDescent="0.3">
      <c r="A1551" s="1">
        <v>41182</v>
      </c>
      <c r="B1551" t="s">
        <v>17</v>
      </c>
      <c r="C1551">
        <v>1825</v>
      </c>
      <c r="D1551" t="s">
        <v>26</v>
      </c>
    </row>
    <row r="1552" spans="1:4" x14ac:dyDescent="0.3">
      <c r="A1552" s="1">
        <v>41182</v>
      </c>
      <c r="B1552" t="s">
        <v>17</v>
      </c>
      <c r="C1552">
        <v>4007</v>
      </c>
      <c r="D1552" t="s">
        <v>27</v>
      </c>
    </row>
    <row r="1553" spans="1:4" x14ac:dyDescent="0.3">
      <c r="A1553" s="1">
        <v>41274</v>
      </c>
      <c r="B1553" t="s">
        <v>17</v>
      </c>
      <c r="C1553">
        <v>1538</v>
      </c>
      <c r="D1553" t="s">
        <v>18</v>
      </c>
    </row>
    <row r="1554" spans="1:4" x14ac:dyDescent="0.3">
      <c r="A1554" s="1">
        <v>41274</v>
      </c>
      <c r="B1554" t="s">
        <v>17</v>
      </c>
      <c r="C1554">
        <v>1308</v>
      </c>
      <c r="D1554" t="s">
        <v>19</v>
      </c>
    </row>
    <row r="1555" spans="1:4" x14ac:dyDescent="0.3">
      <c r="A1555" s="1">
        <v>41274</v>
      </c>
      <c r="B1555" t="s">
        <v>17</v>
      </c>
      <c r="C1555">
        <v>977</v>
      </c>
      <c r="D1555" t="s">
        <v>20</v>
      </c>
    </row>
    <row r="1556" spans="1:4" x14ac:dyDescent="0.3">
      <c r="A1556" s="1">
        <v>41274</v>
      </c>
      <c r="B1556" t="s">
        <v>17</v>
      </c>
      <c r="C1556">
        <v>4507</v>
      </c>
      <c r="D1556" t="s">
        <v>21</v>
      </c>
    </row>
    <row r="1557" spans="1:4" x14ac:dyDescent="0.3">
      <c r="A1557" s="1">
        <v>41274</v>
      </c>
      <c r="B1557" t="s">
        <v>17</v>
      </c>
      <c r="C1557">
        <v>1650</v>
      </c>
      <c r="D1557" t="s">
        <v>22</v>
      </c>
    </row>
    <row r="1558" spans="1:4" x14ac:dyDescent="0.3">
      <c r="A1558" s="1">
        <v>41274</v>
      </c>
      <c r="B1558" t="s">
        <v>17</v>
      </c>
      <c r="C1558">
        <v>8332</v>
      </c>
      <c r="D1558" t="s">
        <v>23</v>
      </c>
    </row>
    <row r="1559" spans="1:4" x14ac:dyDescent="0.3">
      <c r="A1559" s="1">
        <v>41274</v>
      </c>
      <c r="B1559" t="s">
        <v>17</v>
      </c>
      <c r="C1559">
        <v>229</v>
      </c>
      <c r="D1559" t="s">
        <v>28</v>
      </c>
    </row>
    <row r="1560" spans="1:4" x14ac:dyDescent="0.3">
      <c r="A1560" s="1">
        <v>41274</v>
      </c>
      <c r="B1560" t="s">
        <v>17</v>
      </c>
      <c r="C1560">
        <v>2919</v>
      </c>
      <c r="D1560" t="s">
        <v>24</v>
      </c>
    </row>
    <row r="1561" spans="1:4" x14ac:dyDescent="0.3">
      <c r="A1561" s="1">
        <v>41274</v>
      </c>
      <c r="B1561" t="s">
        <v>17</v>
      </c>
      <c r="C1561">
        <v>2821</v>
      </c>
      <c r="D1561" t="s">
        <v>25</v>
      </c>
    </row>
    <row r="1562" spans="1:4" x14ac:dyDescent="0.3">
      <c r="A1562" s="1">
        <v>41274</v>
      </c>
      <c r="B1562" t="s">
        <v>17</v>
      </c>
      <c r="C1562">
        <v>1890</v>
      </c>
      <c r="D1562" t="s">
        <v>26</v>
      </c>
    </row>
    <row r="1563" spans="1:4" x14ac:dyDescent="0.3">
      <c r="A1563" s="1">
        <v>41274</v>
      </c>
      <c r="B1563" t="s">
        <v>17</v>
      </c>
      <c r="C1563">
        <v>4082</v>
      </c>
      <c r="D1563" t="s">
        <v>27</v>
      </c>
    </row>
    <row r="1564" spans="1:4" x14ac:dyDescent="0.3">
      <c r="A1564" s="1">
        <v>41364</v>
      </c>
      <c r="B1564" t="s">
        <v>17</v>
      </c>
      <c r="C1564">
        <v>1566</v>
      </c>
      <c r="D1564" t="s">
        <v>18</v>
      </c>
    </row>
    <row r="1565" spans="1:4" x14ac:dyDescent="0.3">
      <c r="A1565" s="1">
        <v>41364</v>
      </c>
      <c r="B1565" t="s">
        <v>17</v>
      </c>
      <c r="C1565">
        <v>1296</v>
      </c>
      <c r="D1565" t="s">
        <v>19</v>
      </c>
    </row>
    <row r="1566" spans="1:4" x14ac:dyDescent="0.3">
      <c r="A1566" s="1">
        <v>41364</v>
      </c>
      <c r="B1566" t="s">
        <v>17</v>
      </c>
      <c r="C1566">
        <v>970</v>
      </c>
      <c r="D1566" t="s">
        <v>20</v>
      </c>
    </row>
    <row r="1567" spans="1:4" x14ac:dyDescent="0.3">
      <c r="A1567" s="1">
        <v>41364</v>
      </c>
      <c r="B1567" t="s">
        <v>17</v>
      </c>
      <c r="C1567">
        <v>4575</v>
      </c>
      <c r="D1567" t="s">
        <v>21</v>
      </c>
    </row>
    <row r="1568" spans="1:4" x14ac:dyDescent="0.3">
      <c r="A1568" s="1">
        <v>41364</v>
      </c>
      <c r="B1568" t="s">
        <v>17</v>
      </c>
      <c r="C1568">
        <v>1676</v>
      </c>
      <c r="D1568" t="s">
        <v>22</v>
      </c>
    </row>
    <row r="1569" spans="1:4" x14ac:dyDescent="0.3">
      <c r="A1569" s="1">
        <v>41364</v>
      </c>
      <c r="B1569" t="s">
        <v>17</v>
      </c>
      <c r="C1569">
        <v>8448</v>
      </c>
      <c r="D1569" t="s">
        <v>23</v>
      </c>
    </row>
    <row r="1570" spans="1:4" x14ac:dyDescent="0.3">
      <c r="A1570" s="1">
        <v>41364</v>
      </c>
      <c r="B1570" t="s">
        <v>17</v>
      </c>
      <c r="C1570">
        <v>226</v>
      </c>
      <c r="D1570" t="s">
        <v>28</v>
      </c>
    </row>
    <row r="1571" spans="1:4" x14ac:dyDescent="0.3">
      <c r="A1571" s="1">
        <v>41364</v>
      </c>
      <c r="B1571" t="s">
        <v>17</v>
      </c>
      <c r="C1571">
        <v>2964</v>
      </c>
      <c r="D1571" t="s">
        <v>24</v>
      </c>
    </row>
    <row r="1572" spans="1:4" x14ac:dyDescent="0.3">
      <c r="A1572" s="1">
        <v>41364</v>
      </c>
      <c r="B1572" t="s">
        <v>17</v>
      </c>
      <c r="C1572">
        <v>2877</v>
      </c>
      <c r="D1572" t="s">
        <v>25</v>
      </c>
    </row>
    <row r="1573" spans="1:4" x14ac:dyDescent="0.3">
      <c r="A1573" s="1">
        <v>41364</v>
      </c>
      <c r="B1573" t="s">
        <v>17</v>
      </c>
      <c r="C1573">
        <v>1921</v>
      </c>
      <c r="D1573" t="s">
        <v>26</v>
      </c>
    </row>
    <row r="1574" spans="1:4" x14ac:dyDescent="0.3">
      <c r="A1574" s="1">
        <v>41364</v>
      </c>
      <c r="B1574" t="s">
        <v>17</v>
      </c>
      <c r="C1574">
        <v>4162</v>
      </c>
      <c r="D1574" t="s">
        <v>27</v>
      </c>
    </row>
    <row r="1575" spans="1:4" x14ac:dyDescent="0.3">
      <c r="A1575" s="1">
        <v>41455</v>
      </c>
      <c r="B1575" t="s">
        <v>17</v>
      </c>
      <c r="C1575">
        <v>1566</v>
      </c>
      <c r="D1575" t="s">
        <v>18</v>
      </c>
    </row>
    <row r="1576" spans="1:4" x14ac:dyDescent="0.3">
      <c r="A1576" s="1">
        <v>41455</v>
      </c>
      <c r="B1576" t="s">
        <v>17</v>
      </c>
      <c r="C1576">
        <v>1337</v>
      </c>
      <c r="D1576" t="s">
        <v>19</v>
      </c>
    </row>
    <row r="1577" spans="1:4" x14ac:dyDescent="0.3">
      <c r="A1577" s="1">
        <v>41455</v>
      </c>
      <c r="B1577" t="s">
        <v>17</v>
      </c>
      <c r="C1577">
        <v>956</v>
      </c>
      <c r="D1577" t="s">
        <v>20</v>
      </c>
    </row>
    <row r="1578" spans="1:4" x14ac:dyDescent="0.3">
      <c r="A1578" s="1">
        <v>41455</v>
      </c>
      <c r="B1578" t="s">
        <v>17</v>
      </c>
      <c r="C1578">
        <v>4616</v>
      </c>
      <c r="D1578" t="s">
        <v>21</v>
      </c>
    </row>
    <row r="1579" spans="1:4" x14ac:dyDescent="0.3">
      <c r="A1579" s="1">
        <v>41455</v>
      </c>
      <c r="B1579" t="s">
        <v>17</v>
      </c>
      <c r="C1579">
        <v>1733</v>
      </c>
      <c r="D1579" t="s">
        <v>22</v>
      </c>
    </row>
    <row r="1580" spans="1:4" x14ac:dyDescent="0.3">
      <c r="A1580" s="1">
        <v>41455</v>
      </c>
      <c r="B1580" t="s">
        <v>17</v>
      </c>
      <c r="C1580">
        <v>8529</v>
      </c>
      <c r="D1580" t="s">
        <v>23</v>
      </c>
    </row>
    <row r="1581" spans="1:4" x14ac:dyDescent="0.3">
      <c r="A1581" s="1">
        <v>41455</v>
      </c>
      <c r="B1581" t="s">
        <v>17</v>
      </c>
      <c r="C1581">
        <v>267</v>
      </c>
      <c r="D1581" t="s">
        <v>28</v>
      </c>
    </row>
    <row r="1582" spans="1:4" x14ac:dyDescent="0.3">
      <c r="A1582" s="1">
        <v>41455</v>
      </c>
      <c r="B1582" t="s">
        <v>17</v>
      </c>
      <c r="C1582">
        <v>3028</v>
      </c>
      <c r="D1582" t="s">
        <v>24</v>
      </c>
    </row>
    <row r="1583" spans="1:4" x14ac:dyDescent="0.3">
      <c r="A1583" s="1">
        <v>41455</v>
      </c>
      <c r="B1583" t="s">
        <v>17</v>
      </c>
      <c r="C1583">
        <v>2897</v>
      </c>
      <c r="D1583" t="s">
        <v>25</v>
      </c>
    </row>
    <row r="1584" spans="1:4" x14ac:dyDescent="0.3">
      <c r="A1584" s="1">
        <v>41455</v>
      </c>
      <c r="B1584" t="s">
        <v>17</v>
      </c>
      <c r="C1584">
        <v>2004</v>
      </c>
      <c r="D1584" t="s">
        <v>26</v>
      </c>
    </row>
    <row r="1585" spans="1:4" x14ac:dyDescent="0.3">
      <c r="A1585" s="1">
        <v>41455</v>
      </c>
      <c r="B1585" t="s">
        <v>17</v>
      </c>
      <c r="C1585">
        <v>4192</v>
      </c>
      <c r="D1585" t="s">
        <v>27</v>
      </c>
    </row>
    <row r="1586" spans="1:4" x14ac:dyDescent="0.3">
      <c r="A1586" s="1">
        <v>41547</v>
      </c>
      <c r="B1586" t="s">
        <v>17</v>
      </c>
      <c r="C1586">
        <v>1573</v>
      </c>
      <c r="D1586" t="s">
        <v>18</v>
      </c>
    </row>
    <row r="1587" spans="1:4" x14ac:dyDescent="0.3">
      <c r="A1587" s="1">
        <v>41547</v>
      </c>
      <c r="B1587" t="s">
        <v>17</v>
      </c>
      <c r="C1587">
        <v>1284</v>
      </c>
      <c r="D1587" t="s">
        <v>19</v>
      </c>
    </row>
    <row r="1588" spans="1:4" x14ac:dyDescent="0.3">
      <c r="A1588" s="1">
        <v>41547</v>
      </c>
      <c r="B1588" t="s">
        <v>17</v>
      </c>
      <c r="C1588">
        <v>962</v>
      </c>
      <c r="D1588" t="s">
        <v>20</v>
      </c>
    </row>
    <row r="1589" spans="1:4" x14ac:dyDescent="0.3">
      <c r="A1589" s="1">
        <v>41547</v>
      </c>
      <c r="B1589" t="s">
        <v>17</v>
      </c>
      <c r="C1589">
        <v>4652</v>
      </c>
      <c r="D1589" t="s">
        <v>21</v>
      </c>
    </row>
    <row r="1590" spans="1:4" x14ac:dyDescent="0.3">
      <c r="A1590" s="1">
        <v>41547</v>
      </c>
      <c r="B1590" t="s">
        <v>17</v>
      </c>
      <c r="C1590">
        <v>1759</v>
      </c>
      <c r="D1590" t="s">
        <v>22</v>
      </c>
    </row>
    <row r="1591" spans="1:4" x14ac:dyDescent="0.3">
      <c r="A1591" s="1">
        <v>41547</v>
      </c>
      <c r="B1591" t="s">
        <v>17</v>
      </c>
      <c r="C1591">
        <v>8616</v>
      </c>
      <c r="D1591" t="s">
        <v>23</v>
      </c>
    </row>
    <row r="1592" spans="1:4" x14ac:dyDescent="0.3">
      <c r="A1592" s="1">
        <v>41547</v>
      </c>
      <c r="B1592" t="s">
        <v>17</v>
      </c>
      <c r="C1592">
        <v>269</v>
      </c>
      <c r="D1592" t="s">
        <v>28</v>
      </c>
    </row>
    <row r="1593" spans="1:4" x14ac:dyDescent="0.3">
      <c r="A1593" s="1">
        <v>41547</v>
      </c>
      <c r="B1593" t="s">
        <v>17</v>
      </c>
      <c r="C1593">
        <v>3082</v>
      </c>
      <c r="D1593" t="s">
        <v>24</v>
      </c>
    </row>
    <row r="1594" spans="1:4" x14ac:dyDescent="0.3">
      <c r="A1594" s="1">
        <v>41547</v>
      </c>
      <c r="B1594" t="s">
        <v>17</v>
      </c>
      <c r="C1594">
        <v>2954</v>
      </c>
      <c r="D1594" t="s">
        <v>25</v>
      </c>
    </row>
    <row r="1595" spans="1:4" x14ac:dyDescent="0.3">
      <c r="A1595" s="1">
        <v>41547</v>
      </c>
      <c r="B1595" t="s">
        <v>17</v>
      </c>
      <c r="C1595">
        <v>1976</v>
      </c>
      <c r="D1595" t="s">
        <v>26</v>
      </c>
    </row>
    <row r="1596" spans="1:4" x14ac:dyDescent="0.3">
      <c r="A1596" s="1">
        <v>41547</v>
      </c>
      <c r="B1596" t="s">
        <v>17</v>
      </c>
      <c r="C1596">
        <v>4303</v>
      </c>
      <c r="D1596" t="s">
        <v>27</v>
      </c>
    </row>
    <row r="1597" spans="1:4" x14ac:dyDescent="0.3">
      <c r="A1597" s="1">
        <v>41639</v>
      </c>
      <c r="B1597" t="s">
        <v>17</v>
      </c>
      <c r="C1597">
        <v>1600</v>
      </c>
      <c r="D1597" t="s">
        <v>18</v>
      </c>
    </row>
    <row r="1598" spans="1:4" x14ac:dyDescent="0.3">
      <c r="A1598" s="1">
        <v>41639</v>
      </c>
      <c r="B1598" t="s">
        <v>17</v>
      </c>
      <c r="C1598">
        <v>1353</v>
      </c>
      <c r="D1598" t="s">
        <v>19</v>
      </c>
    </row>
    <row r="1599" spans="1:4" x14ac:dyDescent="0.3">
      <c r="A1599" s="1">
        <v>41639</v>
      </c>
      <c r="B1599" t="s">
        <v>17</v>
      </c>
      <c r="C1599">
        <v>966</v>
      </c>
      <c r="D1599" t="s">
        <v>20</v>
      </c>
    </row>
    <row r="1600" spans="1:4" x14ac:dyDescent="0.3">
      <c r="A1600" s="1">
        <v>41639</v>
      </c>
      <c r="B1600" t="s">
        <v>17</v>
      </c>
      <c r="C1600">
        <v>4663</v>
      </c>
      <c r="D1600" t="s">
        <v>21</v>
      </c>
    </row>
    <row r="1601" spans="1:4" x14ac:dyDescent="0.3">
      <c r="A1601" s="1">
        <v>41639</v>
      </c>
      <c r="B1601" t="s">
        <v>17</v>
      </c>
      <c r="C1601">
        <v>1781</v>
      </c>
      <c r="D1601" t="s">
        <v>22</v>
      </c>
    </row>
    <row r="1602" spans="1:4" x14ac:dyDescent="0.3">
      <c r="A1602" s="1">
        <v>41639</v>
      </c>
      <c r="B1602" t="s">
        <v>17</v>
      </c>
      <c r="C1602">
        <v>8722</v>
      </c>
      <c r="D1602" t="s">
        <v>23</v>
      </c>
    </row>
    <row r="1603" spans="1:4" x14ac:dyDescent="0.3">
      <c r="A1603" s="1">
        <v>41639</v>
      </c>
      <c r="B1603" t="s">
        <v>17</v>
      </c>
      <c r="C1603">
        <v>269</v>
      </c>
      <c r="D1603" t="s">
        <v>28</v>
      </c>
    </row>
    <row r="1604" spans="1:4" x14ac:dyDescent="0.3">
      <c r="A1604" s="1">
        <v>41639</v>
      </c>
      <c r="B1604" t="s">
        <v>17</v>
      </c>
      <c r="C1604">
        <v>3100</v>
      </c>
      <c r="D1604" t="s">
        <v>24</v>
      </c>
    </row>
    <row r="1605" spans="1:4" x14ac:dyDescent="0.3">
      <c r="A1605" s="1">
        <v>41639</v>
      </c>
      <c r="B1605" t="s">
        <v>17</v>
      </c>
      <c r="C1605">
        <v>2962</v>
      </c>
      <c r="D1605" t="s">
        <v>25</v>
      </c>
    </row>
    <row r="1606" spans="1:4" x14ac:dyDescent="0.3">
      <c r="A1606" s="1">
        <v>41639</v>
      </c>
      <c r="B1606" t="s">
        <v>17</v>
      </c>
      <c r="C1606">
        <v>2032</v>
      </c>
      <c r="D1606" t="s">
        <v>26</v>
      </c>
    </row>
    <row r="1607" spans="1:4" x14ac:dyDescent="0.3">
      <c r="A1607" s="1">
        <v>41639</v>
      </c>
      <c r="B1607" t="s">
        <v>17</v>
      </c>
      <c r="C1607">
        <v>4407</v>
      </c>
      <c r="D1607" t="s">
        <v>27</v>
      </c>
    </row>
    <row r="1608" spans="1:4" x14ac:dyDescent="0.3">
      <c r="A1608" s="1">
        <v>41729</v>
      </c>
      <c r="B1608" t="s">
        <v>17</v>
      </c>
      <c r="C1608">
        <v>1628</v>
      </c>
      <c r="D1608" t="s">
        <v>18</v>
      </c>
    </row>
    <row r="1609" spans="1:4" x14ac:dyDescent="0.3">
      <c r="A1609" s="1">
        <v>41729</v>
      </c>
      <c r="B1609" t="s">
        <v>17</v>
      </c>
      <c r="C1609">
        <v>1360</v>
      </c>
      <c r="D1609" t="s">
        <v>19</v>
      </c>
    </row>
    <row r="1610" spans="1:4" x14ac:dyDescent="0.3">
      <c r="A1610" s="1">
        <v>41729</v>
      </c>
      <c r="B1610" t="s">
        <v>17</v>
      </c>
      <c r="C1610">
        <v>957</v>
      </c>
      <c r="D1610" t="s">
        <v>20</v>
      </c>
    </row>
    <row r="1611" spans="1:4" x14ac:dyDescent="0.3">
      <c r="A1611" s="1">
        <v>41729</v>
      </c>
      <c r="B1611" t="s">
        <v>17</v>
      </c>
      <c r="C1611">
        <v>4650</v>
      </c>
      <c r="D1611" t="s">
        <v>21</v>
      </c>
    </row>
    <row r="1612" spans="1:4" x14ac:dyDescent="0.3">
      <c r="A1612" s="1">
        <v>41729</v>
      </c>
      <c r="B1612" t="s">
        <v>17</v>
      </c>
      <c r="C1612">
        <v>1794</v>
      </c>
      <c r="D1612" t="s">
        <v>22</v>
      </c>
    </row>
    <row r="1613" spans="1:4" x14ac:dyDescent="0.3">
      <c r="A1613" s="1">
        <v>41729</v>
      </c>
      <c r="B1613" t="s">
        <v>17</v>
      </c>
      <c r="C1613">
        <v>8798</v>
      </c>
      <c r="D1613" t="s">
        <v>23</v>
      </c>
    </row>
    <row r="1614" spans="1:4" x14ac:dyDescent="0.3">
      <c r="A1614" s="1">
        <v>41729</v>
      </c>
      <c r="B1614" t="s">
        <v>17</v>
      </c>
      <c r="C1614">
        <v>288</v>
      </c>
      <c r="D1614" t="s">
        <v>28</v>
      </c>
    </row>
    <row r="1615" spans="1:4" x14ac:dyDescent="0.3">
      <c r="A1615" s="1">
        <v>41729</v>
      </c>
      <c r="B1615" t="s">
        <v>17</v>
      </c>
      <c r="C1615">
        <v>3132</v>
      </c>
      <c r="D1615" t="s">
        <v>24</v>
      </c>
    </row>
    <row r="1616" spans="1:4" x14ac:dyDescent="0.3">
      <c r="A1616" s="1">
        <v>41729</v>
      </c>
      <c r="B1616" t="s">
        <v>17</v>
      </c>
      <c r="C1616">
        <v>2972</v>
      </c>
      <c r="D1616" t="s">
        <v>25</v>
      </c>
    </row>
    <row r="1617" spans="1:4" x14ac:dyDescent="0.3">
      <c r="A1617" s="1">
        <v>41729</v>
      </c>
      <c r="B1617" t="s">
        <v>17</v>
      </c>
      <c r="C1617">
        <v>2108</v>
      </c>
      <c r="D1617" t="s">
        <v>26</v>
      </c>
    </row>
    <row r="1618" spans="1:4" x14ac:dyDescent="0.3">
      <c r="A1618" s="1">
        <v>41729</v>
      </c>
      <c r="B1618" t="s">
        <v>17</v>
      </c>
      <c r="C1618">
        <v>4491</v>
      </c>
      <c r="D1618" t="s">
        <v>27</v>
      </c>
    </row>
    <row r="1619" spans="1:4" x14ac:dyDescent="0.3">
      <c r="A1619" s="1">
        <v>41820</v>
      </c>
      <c r="B1619" t="s">
        <v>17</v>
      </c>
      <c r="C1619">
        <v>1660</v>
      </c>
      <c r="D1619" t="s">
        <v>18</v>
      </c>
    </row>
    <row r="1620" spans="1:4" x14ac:dyDescent="0.3">
      <c r="A1620" s="1">
        <v>41820</v>
      </c>
      <c r="B1620" t="s">
        <v>17</v>
      </c>
      <c r="C1620">
        <v>1336</v>
      </c>
      <c r="D1620" t="s">
        <v>19</v>
      </c>
    </row>
    <row r="1621" spans="1:4" x14ac:dyDescent="0.3">
      <c r="A1621" s="1">
        <v>41820</v>
      </c>
      <c r="B1621" t="s">
        <v>17</v>
      </c>
      <c r="C1621">
        <v>952</v>
      </c>
      <c r="D1621" t="s">
        <v>20</v>
      </c>
    </row>
    <row r="1622" spans="1:4" x14ac:dyDescent="0.3">
      <c r="A1622" s="1">
        <v>41820</v>
      </c>
      <c r="B1622" t="s">
        <v>17</v>
      </c>
      <c r="C1622">
        <v>4697</v>
      </c>
      <c r="D1622" t="s">
        <v>21</v>
      </c>
    </row>
    <row r="1623" spans="1:4" x14ac:dyDescent="0.3">
      <c r="A1623" s="1">
        <v>41820</v>
      </c>
      <c r="B1623" t="s">
        <v>17</v>
      </c>
      <c r="C1623">
        <v>1819</v>
      </c>
      <c r="D1623" t="s">
        <v>22</v>
      </c>
    </row>
    <row r="1624" spans="1:4" x14ac:dyDescent="0.3">
      <c r="A1624" s="1">
        <v>41820</v>
      </c>
      <c r="B1624" t="s">
        <v>17</v>
      </c>
      <c r="C1624">
        <v>8927</v>
      </c>
      <c r="D1624" t="s">
        <v>23</v>
      </c>
    </row>
    <row r="1625" spans="1:4" x14ac:dyDescent="0.3">
      <c r="A1625" s="1">
        <v>41820</v>
      </c>
      <c r="B1625" t="s">
        <v>17</v>
      </c>
      <c r="C1625">
        <v>284</v>
      </c>
      <c r="D1625" t="s">
        <v>28</v>
      </c>
    </row>
    <row r="1626" spans="1:4" x14ac:dyDescent="0.3">
      <c r="A1626" s="1">
        <v>41820</v>
      </c>
      <c r="B1626" t="s">
        <v>17</v>
      </c>
      <c r="C1626">
        <v>3154</v>
      </c>
      <c r="D1626" t="s">
        <v>24</v>
      </c>
    </row>
    <row r="1627" spans="1:4" x14ac:dyDescent="0.3">
      <c r="A1627" s="1">
        <v>41820</v>
      </c>
      <c r="B1627" t="s">
        <v>17</v>
      </c>
      <c r="C1627">
        <v>2994</v>
      </c>
      <c r="D1627" t="s">
        <v>25</v>
      </c>
    </row>
    <row r="1628" spans="1:4" x14ac:dyDescent="0.3">
      <c r="A1628" s="1">
        <v>41820</v>
      </c>
      <c r="B1628" t="s">
        <v>17</v>
      </c>
      <c r="C1628">
        <v>2060</v>
      </c>
      <c r="D1628" t="s">
        <v>26</v>
      </c>
    </row>
    <row r="1629" spans="1:4" x14ac:dyDescent="0.3">
      <c r="A1629" s="1">
        <v>41820</v>
      </c>
      <c r="B1629" t="s">
        <v>17</v>
      </c>
      <c r="C1629">
        <v>4498</v>
      </c>
      <c r="D1629" t="s">
        <v>27</v>
      </c>
    </row>
    <row r="1630" spans="1:4" x14ac:dyDescent="0.3">
      <c r="A1630" s="1">
        <v>41912</v>
      </c>
      <c r="B1630" t="s">
        <v>17</v>
      </c>
      <c r="C1630">
        <v>1709</v>
      </c>
      <c r="D1630" t="s">
        <v>18</v>
      </c>
    </row>
    <row r="1631" spans="1:4" x14ac:dyDescent="0.3">
      <c r="A1631" s="1">
        <v>41912</v>
      </c>
      <c r="B1631" t="s">
        <v>17</v>
      </c>
      <c r="C1631">
        <v>1359</v>
      </c>
      <c r="D1631" t="s">
        <v>19</v>
      </c>
    </row>
    <row r="1632" spans="1:4" x14ac:dyDescent="0.3">
      <c r="A1632" s="1">
        <v>41912</v>
      </c>
      <c r="B1632" t="s">
        <v>17</v>
      </c>
      <c r="C1632">
        <v>951</v>
      </c>
      <c r="D1632" t="s">
        <v>20</v>
      </c>
    </row>
    <row r="1633" spans="1:4" x14ac:dyDescent="0.3">
      <c r="A1633" s="1">
        <v>41912</v>
      </c>
      <c r="B1633" t="s">
        <v>17</v>
      </c>
      <c r="C1633">
        <v>4761</v>
      </c>
      <c r="D1633" t="s">
        <v>21</v>
      </c>
    </row>
    <row r="1634" spans="1:4" x14ac:dyDescent="0.3">
      <c r="A1634" s="1">
        <v>41912</v>
      </c>
      <c r="B1634" t="s">
        <v>17</v>
      </c>
      <c r="C1634">
        <v>1860</v>
      </c>
      <c r="D1634" t="s">
        <v>22</v>
      </c>
    </row>
    <row r="1635" spans="1:4" x14ac:dyDescent="0.3">
      <c r="A1635" s="1">
        <v>41912</v>
      </c>
      <c r="B1635" t="s">
        <v>17</v>
      </c>
      <c r="C1635">
        <v>9069</v>
      </c>
      <c r="D1635" t="s">
        <v>23</v>
      </c>
    </row>
    <row r="1636" spans="1:4" x14ac:dyDescent="0.3">
      <c r="A1636" s="1">
        <v>41912</v>
      </c>
      <c r="B1636" t="s">
        <v>17</v>
      </c>
      <c r="C1636">
        <v>298</v>
      </c>
      <c r="D1636" t="s">
        <v>28</v>
      </c>
    </row>
    <row r="1637" spans="1:4" x14ac:dyDescent="0.3">
      <c r="A1637" s="1">
        <v>41912</v>
      </c>
      <c r="B1637" t="s">
        <v>17</v>
      </c>
      <c r="C1637">
        <v>3178</v>
      </c>
      <c r="D1637" t="s">
        <v>24</v>
      </c>
    </row>
    <row r="1638" spans="1:4" x14ac:dyDescent="0.3">
      <c r="A1638" s="1">
        <v>41912</v>
      </c>
      <c r="B1638" t="s">
        <v>17</v>
      </c>
      <c r="C1638">
        <v>3014</v>
      </c>
      <c r="D1638" t="s">
        <v>25</v>
      </c>
    </row>
    <row r="1639" spans="1:4" x14ac:dyDescent="0.3">
      <c r="A1639" s="1">
        <v>41912</v>
      </c>
      <c r="B1639" t="s">
        <v>17</v>
      </c>
      <c r="C1639">
        <v>2061</v>
      </c>
      <c r="D1639" t="s">
        <v>26</v>
      </c>
    </row>
    <row r="1640" spans="1:4" x14ac:dyDescent="0.3">
      <c r="A1640" s="1">
        <v>41912</v>
      </c>
      <c r="B1640" t="s">
        <v>17</v>
      </c>
      <c r="C1640">
        <v>4542</v>
      </c>
      <c r="D1640" t="s">
        <v>27</v>
      </c>
    </row>
    <row r="1641" spans="1:4" x14ac:dyDescent="0.3">
      <c r="A1641" s="1">
        <v>42004</v>
      </c>
      <c r="B1641" t="s">
        <v>17</v>
      </c>
      <c r="C1641">
        <v>1727</v>
      </c>
      <c r="D1641" t="s">
        <v>18</v>
      </c>
    </row>
    <row r="1642" spans="1:4" x14ac:dyDescent="0.3">
      <c r="A1642" s="1">
        <v>42004</v>
      </c>
      <c r="B1642" t="s">
        <v>17</v>
      </c>
      <c r="C1642">
        <v>1360</v>
      </c>
      <c r="D1642" t="s">
        <v>19</v>
      </c>
    </row>
    <row r="1643" spans="1:4" x14ac:dyDescent="0.3">
      <c r="A1643" s="1">
        <v>42004</v>
      </c>
      <c r="B1643" t="s">
        <v>17</v>
      </c>
      <c r="C1643">
        <v>946</v>
      </c>
      <c r="D1643" t="s">
        <v>20</v>
      </c>
    </row>
    <row r="1644" spans="1:4" x14ac:dyDescent="0.3">
      <c r="A1644" s="1">
        <v>42004</v>
      </c>
      <c r="B1644" t="s">
        <v>17</v>
      </c>
      <c r="C1644">
        <v>4789</v>
      </c>
      <c r="D1644" t="s">
        <v>21</v>
      </c>
    </row>
    <row r="1645" spans="1:4" x14ac:dyDescent="0.3">
      <c r="A1645" s="1">
        <v>42004</v>
      </c>
      <c r="B1645" t="s">
        <v>17</v>
      </c>
      <c r="C1645">
        <v>1888</v>
      </c>
      <c r="D1645" t="s">
        <v>22</v>
      </c>
    </row>
    <row r="1646" spans="1:4" x14ac:dyDescent="0.3">
      <c r="A1646" s="1">
        <v>42004</v>
      </c>
      <c r="B1646" t="s">
        <v>17</v>
      </c>
      <c r="C1646">
        <v>9175</v>
      </c>
      <c r="D1646" t="s">
        <v>23</v>
      </c>
    </row>
    <row r="1647" spans="1:4" x14ac:dyDescent="0.3">
      <c r="A1647" s="1">
        <v>42004</v>
      </c>
      <c r="B1647" t="s">
        <v>17</v>
      </c>
      <c r="C1647">
        <v>314</v>
      </c>
      <c r="D1647" t="s">
        <v>28</v>
      </c>
    </row>
    <row r="1648" spans="1:4" x14ac:dyDescent="0.3">
      <c r="A1648" s="1">
        <v>42004</v>
      </c>
      <c r="B1648" t="s">
        <v>17</v>
      </c>
      <c r="C1648">
        <v>3230</v>
      </c>
      <c r="D1648" t="s">
        <v>24</v>
      </c>
    </row>
    <row r="1649" spans="1:4" x14ac:dyDescent="0.3">
      <c r="A1649" s="1">
        <v>42004</v>
      </c>
      <c r="B1649" t="s">
        <v>17</v>
      </c>
      <c r="C1649">
        <v>3041</v>
      </c>
      <c r="D1649" t="s">
        <v>25</v>
      </c>
    </row>
    <row r="1650" spans="1:4" x14ac:dyDescent="0.3">
      <c r="A1650" s="1">
        <v>42004</v>
      </c>
      <c r="B1650" t="s">
        <v>17</v>
      </c>
      <c r="C1650">
        <v>1966</v>
      </c>
      <c r="D1650" t="s">
        <v>26</v>
      </c>
    </row>
    <row r="1651" spans="1:4" x14ac:dyDescent="0.3">
      <c r="A1651" s="1">
        <v>42004</v>
      </c>
      <c r="B1651" t="s">
        <v>17</v>
      </c>
      <c r="C1651">
        <v>4570</v>
      </c>
      <c r="D1651" t="s">
        <v>27</v>
      </c>
    </row>
    <row r="1652" spans="1:4" x14ac:dyDescent="0.3">
      <c r="A1652" s="1">
        <v>42094</v>
      </c>
      <c r="B1652" t="s">
        <v>17</v>
      </c>
      <c r="C1652">
        <v>1752</v>
      </c>
      <c r="D1652" t="s">
        <v>18</v>
      </c>
    </row>
    <row r="1653" spans="1:4" x14ac:dyDescent="0.3">
      <c r="A1653" s="1">
        <v>42094</v>
      </c>
      <c r="B1653" t="s">
        <v>17</v>
      </c>
      <c r="C1653">
        <v>1374</v>
      </c>
      <c r="D1653" t="s">
        <v>19</v>
      </c>
    </row>
    <row r="1654" spans="1:4" x14ac:dyDescent="0.3">
      <c r="A1654" s="1">
        <v>42094</v>
      </c>
      <c r="B1654" t="s">
        <v>17</v>
      </c>
      <c r="C1654">
        <v>936</v>
      </c>
      <c r="D1654" t="s">
        <v>20</v>
      </c>
    </row>
    <row r="1655" spans="1:4" x14ac:dyDescent="0.3">
      <c r="A1655" s="1">
        <v>42094</v>
      </c>
      <c r="B1655" t="s">
        <v>17</v>
      </c>
      <c r="C1655">
        <v>4882</v>
      </c>
      <c r="D1655" t="s">
        <v>21</v>
      </c>
    </row>
    <row r="1656" spans="1:4" x14ac:dyDescent="0.3">
      <c r="A1656" s="1">
        <v>42094</v>
      </c>
      <c r="B1656" t="s">
        <v>17</v>
      </c>
      <c r="C1656">
        <v>1945</v>
      </c>
      <c r="D1656" t="s">
        <v>22</v>
      </c>
    </row>
    <row r="1657" spans="1:4" x14ac:dyDescent="0.3">
      <c r="A1657" s="1">
        <v>42094</v>
      </c>
      <c r="B1657" t="s">
        <v>17</v>
      </c>
      <c r="C1657">
        <v>9280</v>
      </c>
      <c r="D1657" t="s">
        <v>23</v>
      </c>
    </row>
    <row r="1658" spans="1:4" x14ac:dyDescent="0.3">
      <c r="A1658" s="1">
        <v>42094</v>
      </c>
      <c r="B1658" t="s">
        <v>17</v>
      </c>
      <c r="C1658">
        <v>317</v>
      </c>
      <c r="D1658" t="s">
        <v>28</v>
      </c>
    </row>
    <row r="1659" spans="1:4" x14ac:dyDescent="0.3">
      <c r="A1659" s="1">
        <v>42094</v>
      </c>
      <c r="B1659" t="s">
        <v>17</v>
      </c>
      <c r="C1659">
        <v>3292</v>
      </c>
      <c r="D1659" t="s">
        <v>24</v>
      </c>
    </row>
    <row r="1660" spans="1:4" x14ac:dyDescent="0.3">
      <c r="A1660" s="1">
        <v>42094</v>
      </c>
      <c r="B1660" t="s">
        <v>17</v>
      </c>
      <c r="C1660">
        <v>3139</v>
      </c>
      <c r="D1660" t="s">
        <v>25</v>
      </c>
    </row>
    <row r="1661" spans="1:4" x14ac:dyDescent="0.3">
      <c r="A1661" s="1">
        <v>42094</v>
      </c>
      <c r="B1661" t="s">
        <v>17</v>
      </c>
      <c r="C1661">
        <v>1937</v>
      </c>
      <c r="D1661" t="s">
        <v>26</v>
      </c>
    </row>
    <row r="1662" spans="1:4" x14ac:dyDescent="0.3">
      <c r="A1662" s="1">
        <v>42094</v>
      </c>
      <c r="B1662" t="s">
        <v>17</v>
      </c>
      <c r="C1662">
        <v>4602</v>
      </c>
      <c r="D1662" t="s">
        <v>27</v>
      </c>
    </row>
    <row r="1663" spans="1:4" x14ac:dyDescent="0.3">
      <c r="A1663" s="1">
        <v>42185</v>
      </c>
      <c r="B1663" t="s">
        <v>17</v>
      </c>
      <c r="C1663">
        <v>1778</v>
      </c>
      <c r="D1663" t="s">
        <v>18</v>
      </c>
    </row>
    <row r="1664" spans="1:4" x14ac:dyDescent="0.3">
      <c r="A1664" s="1">
        <v>42185</v>
      </c>
      <c r="B1664" t="s">
        <v>17</v>
      </c>
      <c r="C1664">
        <v>1382</v>
      </c>
      <c r="D1664" t="s">
        <v>19</v>
      </c>
    </row>
    <row r="1665" spans="1:4" x14ac:dyDescent="0.3">
      <c r="A1665" s="1">
        <v>42185</v>
      </c>
      <c r="B1665" t="s">
        <v>17</v>
      </c>
      <c r="C1665">
        <v>943</v>
      </c>
      <c r="D1665" t="s">
        <v>20</v>
      </c>
    </row>
    <row r="1666" spans="1:4" x14ac:dyDescent="0.3">
      <c r="A1666" s="1">
        <v>42185</v>
      </c>
      <c r="B1666" t="s">
        <v>17</v>
      </c>
      <c r="C1666">
        <v>4916</v>
      </c>
      <c r="D1666" t="s">
        <v>21</v>
      </c>
    </row>
    <row r="1667" spans="1:4" x14ac:dyDescent="0.3">
      <c r="A1667" s="1">
        <v>42185</v>
      </c>
      <c r="B1667" t="s">
        <v>17</v>
      </c>
      <c r="C1667">
        <v>1946</v>
      </c>
      <c r="D1667" t="s">
        <v>22</v>
      </c>
    </row>
    <row r="1668" spans="1:4" x14ac:dyDescent="0.3">
      <c r="A1668" s="1">
        <v>42185</v>
      </c>
      <c r="B1668" t="s">
        <v>17</v>
      </c>
      <c r="C1668">
        <v>9400</v>
      </c>
      <c r="D1668" t="s">
        <v>23</v>
      </c>
    </row>
    <row r="1669" spans="1:4" x14ac:dyDescent="0.3">
      <c r="A1669" s="1">
        <v>42185</v>
      </c>
      <c r="B1669" t="s">
        <v>17</v>
      </c>
      <c r="C1669">
        <v>307</v>
      </c>
      <c r="D1669" t="s">
        <v>28</v>
      </c>
    </row>
    <row r="1670" spans="1:4" x14ac:dyDescent="0.3">
      <c r="A1670" s="1">
        <v>42185</v>
      </c>
      <c r="B1670" t="s">
        <v>17</v>
      </c>
      <c r="C1670">
        <v>3352</v>
      </c>
      <c r="D1670" t="s">
        <v>24</v>
      </c>
    </row>
    <row r="1671" spans="1:4" x14ac:dyDescent="0.3">
      <c r="A1671" s="1">
        <v>42185</v>
      </c>
      <c r="B1671" t="s">
        <v>17</v>
      </c>
      <c r="C1671">
        <v>3192</v>
      </c>
      <c r="D1671" t="s">
        <v>25</v>
      </c>
    </row>
    <row r="1672" spans="1:4" x14ac:dyDescent="0.3">
      <c r="A1672" s="1">
        <v>42185</v>
      </c>
      <c r="B1672" t="s">
        <v>17</v>
      </c>
      <c r="C1672">
        <v>1988</v>
      </c>
      <c r="D1672" t="s">
        <v>26</v>
      </c>
    </row>
    <row r="1673" spans="1:4" x14ac:dyDescent="0.3">
      <c r="A1673" s="1">
        <v>42185</v>
      </c>
      <c r="B1673" t="s">
        <v>17</v>
      </c>
      <c r="C1673">
        <v>4686</v>
      </c>
      <c r="D1673" t="s">
        <v>27</v>
      </c>
    </row>
    <row r="1674" spans="1:4" x14ac:dyDescent="0.3">
      <c r="A1674" s="1">
        <v>42277</v>
      </c>
      <c r="B1674" t="s">
        <v>17</v>
      </c>
      <c r="C1674">
        <v>1817</v>
      </c>
      <c r="D1674" t="s">
        <v>18</v>
      </c>
    </row>
    <row r="1675" spans="1:4" x14ac:dyDescent="0.3">
      <c r="A1675" s="1">
        <v>42277</v>
      </c>
      <c r="B1675" t="s">
        <v>17</v>
      </c>
      <c r="C1675">
        <v>1390</v>
      </c>
      <c r="D1675" t="s">
        <v>19</v>
      </c>
    </row>
    <row r="1676" spans="1:4" x14ac:dyDescent="0.3">
      <c r="A1676" s="1">
        <v>42277</v>
      </c>
      <c r="B1676" t="s">
        <v>17</v>
      </c>
      <c r="C1676">
        <v>938</v>
      </c>
      <c r="D1676" t="s">
        <v>20</v>
      </c>
    </row>
    <row r="1677" spans="1:4" x14ac:dyDescent="0.3">
      <c r="A1677" s="1">
        <v>42277</v>
      </c>
      <c r="B1677" t="s">
        <v>17</v>
      </c>
      <c r="C1677">
        <v>4976</v>
      </c>
      <c r="D1677" t="s">
        <v>21</v>
      </c>
    </row>
    <row r="1678" spans="1:4" x14ac:dyDescent="0.3">
      <c r="A1678" s="1">
        <v>42277</v>
      </c>
      <c r="B1678" t="s">
        <v>17</v>
      </c>
      <c r="C1678">
        <v>1997</v>
      </c>
      <c r="D1678" t="s">
        <v>22</v>
      </c>
    </row>
    <row r="1679" spans="1:4" x14ac:dyDescent="0.3">
      <c r="A1679" s="1">
        <v>42277</v>
      </c>
      <c r="B1679" t="s">
        <v>17</v>
      </c>
      <c r="C1679">
        <v>9513</v>
      </c>
      <c r="D1679" t="s">
        <v>23</v>
      </c>
    </row>
    <row r="1680" spans="1:4" x14ac:dyDescent="0.3">
      <c r="A1680" s="1">
        <v>42277</v>
      </c>
      <c r="B1680" t="s">
        <v>17</v>
      </c>
      <c r="C1680">
        <v>338</v>
      </c>
      <c r="D1680" t="s">
        <v>28</v>
      </c>
    </row>
    <row r="1681" spans="1:4" x14ac:dyDescent="0.3">
      <c r="A1681" s="1">
        <v>42277</v>
      </c>
      <c r="B1681" t="s">
        <v>17</v>
      </c>
      <c r="C1681">
        <v>3455</v>
      </c>
      <c r="D1681" t="s">
        <v>24</v>
      </c>
    </row>
    <row r="1682" spans="1:4" x14ac:dyDescent="0.3">
      <c r="A1682" s="1">
        <v>42277</v>
      </c>
      <c r="B1682" t="s">
        <v>17</v>
      </c>
      <c r="C1682">
        <v>3207</v>
      </c>
      <c r="D1682" t="s">
        <v>25</v>
      </c>
    </row>
    <row r="1683" spans="1:4" x14ac:dyDescent="0.3">
      <c r="A1683" s="1">
        <v>42277</v>
      </c>
      <c r="B1683" t="s">
        <v>17</v>
      </c>
      <c r="C1683">
        <v>2057</v>
      </c>
      <c r="D1683" t="s">
        <v>26</v>
      </c>
    </row>
    <row r="1684" spans="1:4" x14ac:dyDescent="0.3">
      <c r="A1684" s="1">
        <v>42277</v>
      </c>
      <c r="B1684" t="s">
        <v>17</v>
      </c>
      <c r="C1684">
        <v>4779</v>
      </c>
      <c r="D1684" t="s">
        <v>27</v>
      </c>
    </row>
    <row r="1685" spans="1:4" x14ac:dyDescent="0.3">
      <c r="A1685" s="1">
        <v>42369</v>
      </c>
      <c r="B1685" t="s">
        <v>17</v>
      </c>
      <c r="C1685">
        <v>1849</v>
      </c>
      <c r="D1685" t="s">
        <v>18</v>
      </c>
    </row>
    <row r="1686" spans="1:4" x14ac:dyDescent="0.3">
      <c r="A1686" s="1">
        <v>42369</v>
      </c>
      <c r="B1686" t="s">
        <v>17</v>
      </c>
      <c r="C1686">
        <v>1421</v>
      </c>
      <c r="D1686" t="s">
        <v>19</v>
      </c>
    </row>
    <row r="1687" spans="1:4" x14ac:dyDescent="0.3">
      <c r="A1687" s="1">
        <v>42369</v>
      </c>
      <c r="B1687" t="s">
        <v>17</v>
      </c>
      <c r="C1687">
        <v>946</v>
      </c>
      <c r="D1687" t="s">
        <v>20</v>
      </c>
    </row>
    <row r="1688" spans="1:4" x14ac:dyDescent="0.3">
      <c r="A1688" s="1">
        <v>42369</v>
      </c>
      <c r="B1688" t="s">
        <v>17</v>
      </c>
      <c r="C1688">
        <v>4971</v>
      </c>
      <c r="D1688" t="s">
        <v>21</v>
      </c>
    </row>
    <row r="1689" spans="1:4" x14ac:dyDescent="0.3">
      <c r="A1689" s="1">
        <v>42369</v>
      </c>
      <c r="B1689" t="s">
        <v>17</v>
      </c>
      <c r="C1689">
        <v>2042</v>
      </c>
      <c r="D1689" t="s">
        <v>22</v>
      </c>
    </row>
    <row r="1690" spans="1:4" x14ac:dyDescent="0.3">
      <c r="A1690" s="1">
        <v>42369</v>
      </c>
      <c r="B1690" t="s">
        <v>17</v>
      </c>
      <c r="C1690">
        <v>9635</v>
      </c>
      <c r="D1690" t="s">
        <v>23</v>
      </c>
    </row>
    <row r="1691" spans="1:4" x14ac:dyDescent="0.3">
      <c r="A1691" s="1">
        <v>42369</v>
      </c>
      <c r="B1691" t="s">
        <v>17</v>
      </c>
      <c r="C1691">
        <v>350</v>
      </c>
      <c r="D1691" t="s">
        <v>28</v>
      </c>
    </row>
    <row r="1692" spans="1:4" x14ac:dyDescent="0.3">
      <c r="A1692" s="1">
        <v>42369</v>
      </c>
      <c r="B1692" t="s">
        <v>17</v>
      </c>
      <c r="C1692">
        <v>3508</v>
      </c>
      <c r="D1692" t="s">
        <v>24</v>
      </c>
    </row>
    <row r="1693" spans="1:4" x14ac:dyDescent="0.3">
      <c r="A1693" s="1">
        <v>42369</v>
      </c>
      <c r="B1693" t="s">
        <v>17</v>
      </c>
      <c r="C1693">
        <v>3274</v>
      </c>
      <c r="D1693" t="s">
        <v>25</v>
      </c>
    </row>
    <row r="1694" spans="1:4" x14ac:dyDescent="0.3">
      <c r="A1694" s="1">
        <v>42369</v>
      </c>
      <c r="B1694" t="s">
        <v>17</v>
      </c>
      <c r="C1694">
        <v>2145</v>
      </c>
      <c r="D1694" t="s">
        <v>26</v>
      </c>
    </row>
    <row r="1695" spans="1:4" x14ac:dyDescent="0.3">
      <c r="A1695" s="1">
        <v>42369</v>
      </c>
      <c r="B1695" t="s">
        <v>17</v>
      </c>
      <c r="C1695">
        <v>4744</v>
      </c>
      <c r="D1695" t="s">
        <v>27</v>
      </c>
    </row>
    <row r="1696" spans="1:4" x14ac:dyDescent="0.3">
      <c r="A1696" s="1">
        <v>42460</v>
      </c>
      <c r="B1696" t="s">
        <v>17</v>
      </c>
      <c r="C1696">
        <v>1884</v>
      </c>
      <c r="D1696" t="s">
        <v>18</v>
      </c>
    </row>
    <row r="1697" spans="1:4" x14ac:dyDescent="0.3">
      <c r="A1697" s="1">
        <v>42460</v>
      </c>
      <c r="B1697" t="s">
        <v>17</v>
      </c>
      <c r="C1697">
        <v>1430</v>
      </c>
      <c r="D1697" t="s">
        <v>19</v>
      </c>
    </row>
    <row r="1698" spans="1:4" x14ac:dyDescent="0.3">
      <c r="A1698" s="1">
        <v>42460</v>
      </c>
      <c r="B1698" t="s">
        <v>17</v>
      </c>
      <c r="C1698">
        <v>958</v>
      </c>
      <c r="D1698" t="s">
        <v>20</v>
      </c>
    </row>
    <row r="1699" spans="1:4" x14ac:dyDescent="0.3">
      <c r="A1699" s="1">
        <v>42460</v>
      </c>
      <c r="B1699" t="s">
        <v>17</v>
      </c>
      <c r="C1699">
        <v>5048</v>
      </c>
      <c r="D1699" t="s">
        <v>21</v>
      </c>
    </row>
    <row r="1700" spans="1:4" x14ac:dyDescent="0.3">
      <c r="A1700" s="1">
        <v>42460</v>
      </c>
      <c r="B1700" t="s">
        <v>17</v>
      </c>
      <c r="C1700">
        <v>2067</v>
      </c>
      <c r="D1700" t="s">
        <v>22</v>
      </c>
    </row>
    <row r="1701" spans="1:4" x14ac:dyDescent="0.3">
      <c r="A1701" s="1">
        <v>42460</v>
      </c>
      <c r="B1701" t="s">
        <v>17</v>
      </c>
      <c r="C1701">
        <v>9690</v>
      </c>
      <c r="D1701" t="s">
        <v>23</v>
      </c>
    </row>
    <row r="1702" spans="1:4" x14ac:dyDescent="0.3">
      <c r="A1702" s="1">
        <v>42460</v>
      </c>
      <c r="B1702" t="s">
        <v>17</v>
      </c>
      <c r="C1702">
        <v>346</v>
      </c>
      <c r="D1702" t="s">
        <v>28</v>
      </c>
    </row>
    <row r="1703" spans="1:4" x14ac:dyDescent="0.3">
      <c r="A1703" s="1">
        <v>42460</v>
      </c>
      <c r="B1703" t="s">
        <v>17</v>
      </c>
      <c r="C1703">
        <v>3581</v>
      </c>
      <c r="D1703" t="s">
        <v>24</v>
      </c>
    </row>
    <row r="1704" spans="1:4" x14ac:dyDescent="0.3">
      <c r="A1704" s="1">
        <v>42460</v>
      </c>
      <c r="B1704" t="s">
        <v>17</v>
      </c>
      <c r="C1704">
        <v>3270</v>
      </c>
      <c r="D1704" t="s">
        <v>25</v>
      </c>
    </row>
    <row r="1705" spans="1:4" x14ac:dyDescent="0.3">
      <c r="A1705" s="1">
        <v>42460</v>
      </c>
      <c r="B1705" t="s">
        <v>17</v>
      </c>
      <c r="C1705">
        <v>2087</v>
      </c>
      <c r="D1705" t="s">
        <v>26</v>
      </c>
    </row>
    <row r="1706" spans="1:4" x14ac:dyDescent="0.3">
      <c r="A1706" s="1">
        <v>42460</v>
      </c>
      <c r="B1706" t="s">
        <v>17</v>
      </c>
      <c r="C1706">
        <v>4747</v>
      </c>
      <c r="D1706" t="s">
        <v>27</v>
      </c>
    </row>
    <row r="1707" spans="1:4" x14ac:dyDescent="0.3">
      <c r="A1707" s="1">
        <v>42551</v>
      </c>
      <c r="B1707" t="s">
        <v>17</v>
      </c>
      <c r="C1707">
        <v>1954</v>
      </c>
      <c r="D1707" t="s">
        <v>18</v>
      </c>
    </row>
    <row r="1708" spans="1:4" x14ac:dyDescent="0.3">
      <c r="A1708" s="1">
        <v>42551</v>
      </c>
      <c r="B1708" t="s">
        <v>17</v>
      </c>
      <c r="C1708">
        <v>1465</v>
      </c>
      <c r="D1708" t="s">
        <v>19</v>
      </c>
    </row>
    <row r="1709" spans="1:4" x14ac:dyDescent="0.3">
      <c r="A1709" s="1">
        <v>42551</v>
      </c>
      <c r="B1709" t="s">
        <v>17</v>
      </c>
      <c r="C1709">
        <v>964</v>
      </c>
      <c r="D1709" t="s">
        <v>20</v>
      </c>
    </row>
    <row r="1710" spans="1:4" x14ac:dyDescent="0.3">
      <c r="A1710" s="1">
        <v>42551</v>
      </c>
      <c r="B1710" t="s">
        <v>17</v>
      </c>
      <c r="C1710">
        <v>5114</v>
      </c>
      <c r="D1710" t="s">
        <v>21</v>
      </c>
    </row>
    <row r="1711" spans="1:4" x14ac:dyDescent="0.3">
      <c r="A1711" s="1">
        <v>42551</v>
      </c>
      <c r="B1711" t="s">
        <v>17</v>
      </c>
      <c r="C1711">
        <v>2108</v>
      </c>
      <c r="D1711" t="s">
        <v>22</v>
      </c>
    </row>
    <row r="1712" spans="1:4" x14ac:dyDescent="0.3">
      <c r="A1712" s="1">
        <v>42551</v>
      </c>
      <c r="B1712" t="s">
        <v>17</v>
      </c>
      <c r="C1712">
        <v>9832</v>
      </c>
      <c r="D1712" t="s">
        <v>23</v>
      </c>
    </row>
    <row r="1713" spans="1:4" x14ac:dyDescent="0.3">
      <c r="A1713" s="1">
        <v>42551</v>
      </c>
      <c r="B1713" t="s">
        <v>17</v>
      </c>
      <c r="C1713">
        <v>363</v>
      </c>
      <c r="D1713" t="s">
        <v>28</v>
      </c>
    </row>
    <row r="1714" spans="1:4" x14ac:dyDescent="0.3">
      <c r="A1714" s="1">
        <v>42551</v>
      </c>
      <c r="B1714" t="s">
        <v>17</v>
      </c>
      <c r="C1714">
        <v>3688</v>
      </c>
      <c r="D1714" t="s">
        <v>24</v>
      </c>
    </row>
    <row r="1715" spans="1:4" x14ac:dyDescent="0.3">
      <c r="A1715" s="1">
        <v>42551</v>
      </c>
      <c r="B1715" t="s">
        <v>17</v>
      </c>
      <c r="C1715">
        <v>3383</v>
      </c>
      <c r="D1715" t="s">
        <v>25</v>
      </c>
    </row>
    <row r="1716" spans="1:4" x14ac:dyDescent="0.3">
      <c r="A1716" s="1">
        <v>42551</v>
      </c>
      <c r="B1716" t="s">
        <v>17</v>
      </c>
      <c r="C1716">
        <v>2304</v>
      </c>
      <c r="D1716" t="s">
        <v>26</v>
      </c>
    </row>
    <row r="1717" spans="1:4" x14ac:dyDescent="0.3">
      <c r="A1717" s="1">
        <v>42551</v>
      </c>
      <c r="B1717" t="s">
        <v>17</v>
      </c>
      <c r="C1717">
        <v>4929</v>
      </c>
      <c r="D1717" t="s">
        <v>27</v>
      </c>
    </row>
    <row r="1718" spans="1:4" x14ac:dyDescent="0.3">
      <c r="A1718" s="1">
        <v>42643</v>
      </c>
      <c r="B1718" t="s">
        <v>17</v>
      </c>
      <c r="C1718">
        <v>1998</v>
      </c>
      <c r="D1718" t="s">
        <v>18</v>
      </c>
    </row>
    <row r="1719" spans="1:4" x14ac:dyDescent="0.3">
      <c r="A1719" s="1">
        <v>42643</v>
      </c>
      <c r="B1719" t="s">
        <v>17</v>
      </c>
      <c r="C1719">
        <v>1452</v>
      </c>
      <c r="D1719" t="s">
        <v>19</v>
      </c>
    </row>
    <row r="1720" spans="1:4" x14ac:dyDescent="0.3">
      <c r="A1720" s="1">
        <v>42643</v>
      </c>
      <c r="B1720" t="s">
        <v>17</v>
      </c>
      <c r="C1720">
        <v>969</v>
      </c>
      <c r="D1720" t="s">
        <v>20</v>
      </c>
    </row>
    <row r="1721" spans="1:4" x14ac:dyDescent="0.3">
      <c r="A1721" s="1">
        <v>42643</v>
      </c>
      <c r="B1721" t="s">
        <v>17</v>
      </c>
      <c r="C1721">
        <v>5129</v>
      </c>
      <c r="D1721" t="s">
        <v>21</v>
      </c>
    </row>
    <row r="1722" spans="1:4" x14ac:dyDescent="0.3">
      <c r="A1722" s="1">
        <v>42643</v>
      </c>
      <c r="B1722" t="s">
        <v>17</v>
      </c>
      <c r="C1722">
        <v>2117</v>
      </c>
      <c r="D1722" t="s">
        <v>22</v>
      </c>
    </row>
    <row r="1723" spans="1:4" x14ac:dyDescent="0.3">
      <c r="A1723" s="1">
        <v>42643</v>
      </c>
      <c r="B1723" t="s">
        <v>17</v>
      </c>
      <c r="C1723">
        <v>9999</v>
      </c>
      <c r="D1723" t="s">
        <v>23</v>
      </c>
    </row>
    <row r="1724" spans="1:4" x14ac:dyDescent="0.3">
      <c r="A1724" s="1">
        <v>42643</v>
      </c>
      <c r="B1724" t="s">
        <v>17</v>
      </c>
      <c r="C1724">
        <v>353</v>
      </c>
      <c r="D1724" t="s">
        <v>28</v>
      </c>
    </row>
    <row r="1725" spans="1:4" x14ac:dyDescent="0.3">
      <c r="A1725" s="1">
        <v>42643</v>
      </c>
      <c r="B1725" t="s">
        <v>17</v>
      </c>
      <c r="C1725">
        <v>3695</v>
      </c>
      <c r="D1725" t="s">
        <v>24</v>
      </c>
    </row>
    <row r="1726" spans="1:4" x14ac:dyDescent="0.3">
      <c r="A1726" s="1">
        <v>42643</v>
      </c>
      <c r="B1726" t="s">
        <v>17</v>
      </c>
      <c r="C1726">
        <v>3423</v>
      </c>
      <c r="D1726" t="s">
        <v>25</v>
      </c>
    </row>
    <row r="1727" spans="1:4" x14ac:dyDescent="0.3">
      <c r="A1727" s="1">
        <v>42643</v>
      </c>
      <c r="B1727" t="s">
        <v>17</v>
      </c>
      <c r="C1727">
        <v>2410</v>
      </c>
      <c r="D1727" t="s">
        <v>26</v>
      </c>
    </row>
    <row r="1728" spans="1:4" x14ac:dyDescent="0.3">
      <c r="A1728" s="1">
        <v>42643</v>
      </c>
      <c r="B1728" t="s">
        <v>17</v>
      </c>
      <c r="C1728">
        <v>5077</v>
      </c>
      <c r="D1728" t="s">
        <v>27</v>
      </c>
    </row>
    <row r="1729" spans="1:4" x14ac:dyDescent="0.3">
      <c r="A1729" s="1">
        <v>42735</v>
      </c>
      <c r="B1729" t="s">
        <v>17</v>
      </c>
      <c r="C1729">
        <v>2038</v>
      </c>
      <c r="D1729" t="s">
        <v>18</v>
      </c>
    </row>
    <row r="1730" spans="1:4" x14ac:dyDescent="0.3">
      <c r="A1730" s="1">
        <v>42735</v>
      </c>
      <c r="B1730" t="s">
        <v>17</v>
      </c>
      <c r="C1730">
        <v>1451</v>
      </c>
      <c r="D1730" t="s">
        <v>19</v>
      </c>
    </row>
    <row r="1731" spans="1:4" x14ac:dyDescent="0.3">
      <c r="A1731" s="1">
        <v>42735</v>
      </c>
      <c r="B1731" t="s">
        <v>17</v>
      </c>
      <c r="C1731">
        <v>963</v>
      </c>
      <c r="D1731" t="s">
        <v>20</v>
      </c>
    </row>
    <row r="1732" spans="1:4" x14ac:dyDescent="0.3">
      <c r="A1732" s="1">
        <v>42735</v>
      </c>
      <c r="B1732" t="s">
        <v>17</v>
      </c>
      <c r="C1732">
        <v>5221</v>
      </c>
      <c r="D1732" t="s">
        <v>21</v>
      </c>
    </row>
    <row r="1733" spans="1:4" x14ac:dyDescent="0.3">
      <c r="A1733" s="1">
        <v>42735</v>
      </c>
      <c r="B1733" t="s">
        <v>17</v>
      </c>
      <c r="C1733">
        <v>2148</v>
      </c>
      <c r="D1733" t="s">
        <v>22</v>
      </c>
    </row>
    <row r="1734" spans="1:4" x14ac:dyDescent="0.3">
      <c r="A1734" s="1">
        <v>42735</v>
      </c>
      <c r="B1734" t="s">
        <v>17</v>
      </c>
      <c r="C1734">
        <v>10148</v>
      </c>
      <c r="D1734" t="s">
        <v>23</v>
      </c>
    </row>
    <row r="1735" spans="1:4" x14ac:dyDescent="0.3">
      <c r="A1735" s="1">
        <v>42735</v>
      </c>
      <c r="B1735" t="s">
        <v>17</v>
      </c>
      <c r="C1735">
        <v>363</v>
      </c>
      <c r="D1735" t="s">
        <v>28</v>
      </c>
    </row>
    <row r="1736" spans="1:4" x14ac:dyDescent="0.3">
      <c r="A1736" s="1">
        <v>42735</v>
      </c>
      <c r="B1736" t="s">
        <v>17</v>
      </c>
      <c r="C1736">
        <v>3784</v>
      </c>
      <c r="D1736" t="s">
        <v>24</v>
      </c>
    </row>
    <row r="1737" spans="1:4" x14ac:dyDescent="0.3">
      <c r="A1737" s="1">
        <v>42735</v>
      </c>
      <c r="B1737" t="s">
        <v>17</v>
      </c>
      <c r="C1737">
        <v>3497</v>
      </c>
      <c r="D1737" t="s">
        <v>25</v>
      </c>
    </row>
    <row r="1738" spans="1:4" x14ac:dyDescent="0.3">
      <c r="A1738" s="1">
        <v>42735</v>
      </c>
      <c r="B1738" t="s">
        <v>17</v>
      </c>
      <c r="C1738">
        <v>2411</v>
      </c>
      <c r="D1738" t="s">
        <v>26</v>
      </c>
    </row>
    <row r="1739" spans="1:4" x14ac:dyDescent="0.3">
      <c r="A1739" s="1">
        <v>42735</v>
      </c>
      <c r="B1739" t="s">
        <v>17</v>
      </c>
      <c r="C1739">
        <v>5164</v>
      </c>
      <c r="D1739" t="s">
        <v>27</v>
      </c>
    </row>
    <row r="1740" spans="1:4" x14ac:dyDescent="0.3">
      <c r="A1740" s="1">
        <v>42825</v>
      </c>
      <c r="B1740" t="s">
        <v>17</v>
      </c>
      <c r="C1740">
        <v>2080</v>
      </c>
      <c r="D1740" t="s">
        <v>18</v>
      </c>
    </row>
    <row r="1741" spans="1:4" x14ac:dyDescent="0.3">
      <c r="A1741" s="1">
        <v>42825</v>
      </c>
      <c r="B1741" t="s">
        <v>17</v>
      </c>
      <c r="C1741">
        <v>1480</v>
      </c>
      <c r="D1741" t="s">
        <v>19</v>
      </c>
    </row>
    <row r="1742" spans="1:4" x14ac:dyDescent="0.3">
      <c r="A1742" s="1">
        <v>42825</v>
      </c>
      <c r="B1742" t="s">
        <v>17</v>
      </c>
      <c r="C1742">
        <v>963</v>
      </c>
      <c r="D1742" t="s">
        <v>20</v>
      </c>
    </row>
    <row r="1743" spans="1:4" x14ac:dyDescent="0.3">
      <c r="A1743" s="1">
        <v>42825</v>
      </c>
      <c r="B1743" t="s">
        <v>17</v>
      </c>
      <c r="C1743">
        <v>5294</v>
      </c>
      <c r="D1743" t="s">
        <v>21</v>
      </c>
    </row>
    <row r="1744" spans="1:4" x14ac:dyDescent="0.3">
      <c r="A1744" s="1">
        <v>42825</v>
      </c>
      <c r="B1744" t="s">
        <v>17</v>
      </c>
      <c r="C1744">
        <v>2185</v>
      </c>
      <c r="D1744" t="s">
        <v>22</v>
      </c>
    </row>
    <row r="1745" spans="1:4" x14ac:dyDescent="0.3">
      <c r="A1745" s="1">
        <v>42825</v>
      </c>
      <c r="B1745" t="s">
        <v>17</v>
      </c>
      <c r="C1745">
        <v>10314</v>
      </c>
      <c r="D1745" t="s">
        <v>23</v>
      </c>
    </row>
    <row r="1746" spans="1:4" x14ac:dyDescent="0.3">
      <c r="A1746" s="1">
        <v>42825</v>
      </c>
      <c r="B1746" t="s">
        <v>17</v>
      </c>
      <c r="C1746">
        <v>376</v>
      </c>
      <c r="D1746" t="s">
        <v>28</v>
      </c>
    </row>
    <row r="1747" spans="1:4" x14ac:dyDescent="0.3">
      <c r="A1747" s="1">
        <v>42825</v>
      </c>
      <c r="B1747" t="s">
        <v>17</v>
      </c>
      <c r="C1747">
        <v>3845</v>
      </c>
      <c r="D1747" t="s">
        <v>24</v>
      </c>
    </row>
    <row r="1748" spans="1:4" x14ac:dyDescent="0.3">
      <c r="A1748" s="1">
        <v>42825</v>
      </c>
      <c r="B1748" t="s">
        <v>17</v>
      </c>
      <c r="C1748">
        <v>3581</v>
      </c>
      <c r="D1748" t="s">
        <v>25</v>
      </c>
    </row>
    <row r="1749" spans="1:4" x14ac:dyDescent="0.3">
      <c r="A1749" s="1">
        <v>42825</v>
      </c>
      <c r="B1749" t="s">
        <v>17</v>
      </c>
      <c r="C1749">
        <v>2547</v>
      </c>
      <c r="D1749" t="s">
        <v>26</v>
      </c>
    </row>
    <row r="1750" spans="1:4" x14ac:dyDescent="0.3">
      <c r="A1750" s="1">
        <v>42825</v>
      </c>
      <c r="B1750" t="s">
        <v>17</v>
      </c>
      <c r="C1750">
        <v>5537</v>
      </c>
      <c r="D1750" t="s">
        <v>27</v>
      </c>
    </row>
    <row r="1751" spans="1:4" x14ac:dyDescent="0.3">
      <c r="A1751" s="1">
        <v>42916</v>
      </c>
      <c r="B1751" t="s">
        <v>17</v>
      </c>
      <c r="C1751">
        <v>2093</v>
      </c>
      <c r="D1751" t="s">
        <v>18</v>
      </c>
    </row>
    <row r="1752" spans="1:4" x14ac:dyDescent="0.3">
      <c r="A1752" s="1">
        <v>42916</v>
      </c>
      <c r="B1752" t="s">
        <v>17</v>
      </c>
      <c r="C1752">
        <v>1503</v>
      </c>
      <c r="D1752" t="s">
        <v>19</v>
      </c>
    </row>
    <row r="1753" spans="1:4" x14ac:dyDescent="0.3">
      <c r="A1753" s="1">
        <v>42916</v>
      </c>
      <c r="B1753" t="s">
        <v>17</v>
      </c>
      <c r="C1753">
        <v>966</v>
      </c>
      <c r="D1753" t="s">
        <v>20</v>
      </c>
    </row>
    <row r="1754" spans="1:4" x14ac:dyDescent="0.3">
      <c r="A1754" s="1">
        <v>42916</v>
      </c>
      <c r="B1754" t="s">
        <v>17</v>
      </c>
      <c r="C1754">
        <v>5395</v>
      </c>
      <c r="D1754" t="s">
        <v>21</v>
      </c>
    </row>
    <row r="1755" spans="1:4" x14ac:dyDescent="0.3">
      <c r="A1755" s="1">
        <v>42916</v>
      </c>
      <c r="B1755" t="s">
        <v>17</v>
      </c>
      <c r="C1755">
        <v>2207</v>
      </c>
      <c r="D1755" t="s">
        <v>22</v>
      </c>
    </row>
    <row r="1756" spans="1:4" x14ac:dyDescent="0.3">
      <c r="A1756" s="1">
        <v>42916</v>
      </c>
      <c r="B1756" t="s">
        <v>17</v>
      </c>
      <c r="C1756">
        <v>10477</v>
      </c>
      <c r="D1756" t="s">
        <v>23</v>
      </c>
    </row>
    <row r="1757" spans="1:4" x14ac:dyDescent="0.3">
      <c r="A1757" s="1">
        <v>42916</v>
      </c>
      <c r="B1757" t="s">
        <v>17</v>
      </c>
      <c r="C1757">
        <v>386</v>
      </c>
      <c r="D1757" t="s">
        <v>28</v>
      </c>
    </row>
    <row r="1758" spans="1:4" x14ac:dyDescent="0.3">
      <c r="A1758" s="1">
        <v>42916</v>
      </c>
      <c r="B1758" t="s">
        <v>17</v>
      </c>
      <c r="C1758">
        <v>3921</v>
      </c>
      <c r="D1758" t="s">
        <v>24</v>
      </c>
    </row>
    <row r="1759" spans="1:4" x14ac:dyDescent="0.3">
      <c r="A1759" s="1">
        <v>42916</v>
      </c>
      <c r="B1759" t="s">
        <v>17</v>
      </c>
      <c r="C1759">
        <v>3595</v>
      </c>
      <c r="D1759" t="s">
        <v>25</v>
      </c>
    </row>
    <row r="1760" spans="1:4" x14ac:dyDescent="0.3">
      <c r="A1760" s="1">
        <v>42916</v>
      </c>
      <c r="B1760" t="s">
        <v>17</v>
      </c>
      <c r="C1760">
        <v>2595</v>
      </c>
      <c r="D1760" t="s">
        <v>26</v>
      </c>
    </row>
    <row r="1761" spans="1:4" x14ac:dyDescent="0.3">
      <c r="A1761" s="1">
        <v>42916</v>
      </c>
      <c r="B1761" t="s">
        <v>17</v>
      </c>
      <c r="C1761">
        <v>5422</v>
      </c>
      <c r="D1761" t="s">
        <v>27</v>
      </c>
    </row>
    <row r="1762" spans="1:4" x14ac:dyDescent="0.3">
      <c r="A1762" s="1">
        <v>43008</v>
      </c>
      <c r="B1762" t="s">
        <v>17</v>
      </c>
      <c r="C1762">
        <v>2116</v>
      </c>
      <c r="D1762" t="s">
        <v>18</v>
      </c>
    </row>
    <row r="1763" spans="1:4" x14ac:dyDescent="0.3">
      <c r="A1763" s="1">
        <v>43008</v>
      </c>
      <c r="B1763" t="s">
        <v>17</v>
      </c>
      <c r="C1763">
        <v>1542</v>
      </c>
      <c r="D1763" t="s">
        <v>19</v>
      </c>
    </row>
    <row r="1764" spans="1:4" x14ac:dyDescent="0.3">
      <c r="A1764" s="1">
        <v>43008</v>
      </c>
      <c r="B1764" t="s">
        <v>17</v>
      </c>
      <c r="C1764">
        <v>961</v>
      </c>
      <c r="D1764" t="s">
        <v>20</v>
      </c>
    </row>
    <row r="1765" spans="1:4" x14ac:dyDescent="0.3">
      <c r="A1765" s="1">
        <v>43008</v>
      </c>
      <c r="B1765" t="s">
        <v>17</v>
      </c>
      <c r="C1765">
        <v>5484</v>
      </c>
      <c r="D1765" t="s">
        <v>21</v>
      </c>
    </row>
    <row r="1766" spans="1:4" x14ac:dyDescent="0.3">
      <c r="A1766" s="1">
        <v>43008</v>
      </c>
      <c r="B1766" t="s">
        <v>17</v>
      </c>
      <c r="C1766">
        <v>2229</v>
      </c>
      <c r="D1766" t="s">
        <v>22</v>
      </c>
    </row>
    <row r="1767" spans="1:4" x14ac:dyDescent="0.3">
      <c r="A1767" s="1">
        <v>43008</v>
      </c>
      <c r="B1767" t="s">
        <v>17</v>
      </c>
      <c r="C1767">
        <v>10637</v>
      </c>
      <c r="D1767" t="s">
        <v>23</v>
      </c>
    </row>
    <row r="1768" spans="1:4" x14ac:dyDescent="0.3">
      <c r="A1768" s="1">
        <v>43008</v>
      </c>
      <c r="B1768" t="s">
        <v>17</v>
      </c>
      <c r="C1768">
        <v>383</v>
      </c>
      <c r="D1768" t="s">
        <v>28</v>
      </c>
    </row>
    <row r="1769" spans="1:4" x14ac:dyDescent="0.3">
      <c r="A1769" s="1">
        <v>43008</v>
      </c>
      <c r="B1769" t="s">
        <v>17</v>
      </c>
      <c r="C1769">
        <v>4001</v>
      </c>
      <c r="D1769" t="s">
        <v>24</v>
      </c>
    </row>
    <row r="1770" spans="1:4" x14ac:dyDescent="0.3">
      <c r="A1770" s="1">
        <v>43008</v>
      </c>
      <c r="B1770" t="s">
        <v>17</v>
      </c>
      <c r="C1770">
        <v>3632</v>
      </c>
      <c r="D1770" t="s">
        <v>25</v>
      </c>
    </row>
    <row r="1771" spans="1:4" x14ac:dyDescent="0.3">
      <c r="A1771" s="1">
        <v>43008</v>
      </c>
      <c r="B1771" t="s">
        <v>17</v>
      </c>
      <c r="C1771">
        <v>2580</v>
      </c>
      <c r="D1771" t="s">
        <v>26</v>
      </c>
    </row>
    <row r="1772" spans="1:4" x14ac:dyDescent="0.3">
      <c r="A1772" s="1">
        <v>43008</v>
      </c>
      <c r="B1772" t="s">
        <v>17</v>
      </c>
      <c r="C1772">
        <v>5495</v>
      </c>
      <c r="D1772" t="s">
        <v>27</v>
      </c>
    </row>
    <row r="1773" spans="1:4" x14ac:dyDescent="0.3">
      <c r="A1773" s="1">
        <v>43100</v>
      </c>
      <c r="B1773" t="s">
        <v>17</v>
      </c>
      <c r="C1773">
        <v>2158</v>
      </c>
      <c r="D1773" t="s">
        <v>18</v>
      </c>
    </row>
    <row r="1774" spans="1:4" x14ac:dyDescent="0.3">
      <c r="A1774" s="1">
        <v>43100</v>
      </c>
      <c r="B1774" t="s">
        <v>17</v>
      </c>
      <c r="C1774">
        <v>1552</v>
      </c>
      <c r="D1774" t="s">
        <v>19</v>
      </c>
    </row>
    <row r="1775" spans="1:4" x14ac:dyDescent="0.3">
      <c r="A1775" s="1">
        <v>43100</v>
      </c>
      <c r="B1775" t="s">
        <v>17</v>
      </c>
      <c r="C1775">
        <v>958</v>
      </c>
      <c r="D1775" t="s">
        <v>20</v>
      </c>
    </row>
    <row r="1776" spans="1:4" x14ac:dyDescent="0.3">
      <c r="A1776" s="1">
        <v>43100</v>
      </c>
      <c r="B1776" t="s">
        <v>17</v>
      </c>
      <c r="C1776">
        <v>5608</v>
      </c>
      <c r="D1776" t="s">
        <v>21</v>
      </c>
    </row>
    <row r="1777" spans="1:4" x14ac:dyDescent="0.3">
      <c r="A1777" s="1">
        <v>43100</v>
      </c>
      <c r="B1777" t="s">
        <v>17</v>
      </c>
      <c r="C1777">
        <v>2257</v>
      </c>
      <c r="D1777" t="s">
        <v>22</v>
      </c>
    </row>
    <row r="1778" spans="1:4" x14ac:dyDescent="0.3">
      <c r="A1778" s="1">
        <v>43100</v>
      </c>
      <c r="B1778" t="s">
        <v>17</v>
      </c>
      <c r="C1778">
        <v>10814</v>
      </c>
      <c r="D1778" t="s">
        <v>23</v>
      </c>
    </row>
    <row r="1779" spans="1:4" x14ac:dyDescent="0.3">
      <c r="A1779" s="1">
        <v>43100</v>
      </c>
      <c r="B1779" t="s">
        <v>17</v>
      </c>
      <c r="C1779">
        <v>409</v>
      </c>
      <c r="D1779" t="s">
        <v>28</v>
      </c>
    </row>
    <row r="1780" spans="1:4" x14ac:dyDescent="0.3">
      <c r="A1780" s="1">
        <v>43100</v>
      </c>
      <c r="B1780" t="s">
        <v>17</v>
      </c>
      <c r="C1780">
        <v>4106</v>
      </c>
      <c r="D1780" t="s">
        <v>24</v>
      </c>
    </row>
    <row r="1781" spans="1:4" x14ac:dyDescent="0.3">
      <c r="A1781" s="1">
        <v>43100</v>
      </c>
      <c r="B1781" t="s">
        <v>17</v>
      </c>
      <c r="C1781">
        <v>3632</v>
      </c>
      <c r="D1781" t="s">
        <v>25</v>
      </c>
    </row>
    <row r="1782" spans="1:4" x14ac:dyDescent="0.3">
      <c r="A1782" s="1">
        <v>43100</v>
      </c>
      <c r="B1782" t="s">
        <v>17</v>
      </c>
      <c r="C1782">
        <v>2631</v>
      </c>
      <c r="D1782" t="s">
        <v>26</v>
      </c>
    </row>
    <row r="1783" spans="1:4" x14ac:dyDescent="0.3">
      <c r="A1783" s="1">
        <v>43100</v>
      </c>
      <c r="B1783" t="s">
        <v>17</v>
      </c>
      <c r="C1783">
        <v>5662</v>
      </c>
      <c r="D1783" t="s">
        <v>27</v>
      </c>
    </row>
    <row r="1784" spans="1:4" x14ac:dyDescent="0.3">
      <c r="A1784" s="1">
        <v>43190</v>
      </c>
      <c r="B1784" t="s">
        <v>17</v>
      </c>
      <c r="C1784">
        <v>2143</v>
      </c>
      <c r="D1784" t="s">
        <v>18</v>
      </c>
    </row>
    <row r="1785" spans="1:4" x14ac:dyDescent="0.3">
      <c r="A1785" s="1">
        <v>43190</v>
      </c>
      <c r="B1785" t="s">
        <v>17</v>
      </c>
      <c r="C1785">
        <v>1500</v>
      </c>
      <c r="D1785" t="s">
        <v>19</v>
      </c>
    </row>
    <row r="1786" spans="1:4" x14ac:dyDescent="0.3">
      <c r="A1786" s="1">
        <v>43190</v>
      </c>
      <c r="B1786" t="s">
        <v>17</v>
      </c>
      <c r="C1786">
        <v>965</v>
      </c>
      <c r="D1786" t="s">
        <v>20</v>
      </c>
    </row>
    <row r="1787" spans="1:4" x14ac:dyDescent="0.3">
      <c r="A1787" s="1">
        <v>43190</v>
      </c>
      <c r="B1787" t="s">
        <v>17</v>
      </c>
      <c r="C1787">
        <v>5579</v>
      </c>
      <c r="D1787" t="s">
        <v>21</v>
      </c>
    </row>
    <row r="1788" spans="1:4" x14ac:dyDescent="0.3">
      <c r="A1788" s="1">
        <v>43190</v>
      </c>
      <c r="B1788" t="s">
        <v>17</v>
      </c>
      <c r="C1788">
        <v>2301</v>
      </c>
      <c r="D1788" t="s">
        <v>22</v>
      </c>
    </row>
    <row r="1789" spans="1:4" x14ac:dyDescent="0.3">
      <c r="A1789" s="1">
        <v>43190</v>
      </c>
      <c r="B1789" t="s">
        <v>17</v>
      </c>
      <c r="C1789">
        <v>10955</v>
      </c>
      <c r="D1789" t="s">
        <v>23</v>
      </c>
    </row>
    <row r="1790" spans="1:4" x14ac:dyDescent="0.3">
      <c r="A1790" s="1">
        <v>43190</v>
      </c>
      <c r="B1790" t="s">
        <v>17</v>
      </c>
      <c r="C1790">
        <v>429</v>
      </c>
      <c r="D1790" t="s">
        <v>28</v>
      </c>
    </row>
    <row r="1791" spans="1:4" x14ac:dyDescent="0.3">
      <c r="A1791" s="1">
        <v>43190</v>
      </c>
      <c r="B1791" t="s">
        <v>17</v>
      </c>
      <c r="C1791">
        <v>4160</v>
      </c>
      <c r="D1791" t="s">
        <v>24</v>
      </c>
    </row>
    <row r="1792" spans="1:4" x14ac:dyDescent="0.3">
      <c r="A1792" s="1">
        <v>43190</v>
      </c>
      <c r="B1792" t="s">
        <v>17</v>
      </c>
      <c r="C1792">
        <v>3682</v>
      </c>
      <c r="D1792" t="s">
        <v>25</v>
      </c>
    </row>
    <row r="1793" spans="1:4" x14ac:dyDescent="0.3">
      <c r="A1793" s="1">
        <v>43190</v>
      </c>
      <c r="B1793" t="s">
        <v>17</v>
      </c>
      <c r="C1793">
        <v>2640</v>
      </c>
      <c r="D1793" t="s">
        <v>26</v>
      </c>
    </row>
    <row r="1794" spans="1:4" x14ac:dyDescent="0.3">
      <c r="A1794" s="1">
        <v>43190</v>
      </c>
      <c r="B1794" t="s">
        <v>17</v>
      </c>
      <c r="C1794">
        <v>5825</v>
      </c>
      <c r="D1794" t="s">
        <v>27</v>
      </c>
    </row>
    <row r="1795" spans="1:4" x14ac:dyDescent="0.3">
      <c r="A1795" s="1">
        <v>43281</v>
      </c>
      <c r="B1795" t="s">
        <v>17</v>
      </c>
      <c r="C1795">
        <v>2152</v>
      </c>
      <c r="D1795" t="s">
        <v>18</v>
      </c>
    </row>
    <row r="1796" spans="1:4" x14ac:dyDescent="0.3">
      <c r="A1796" s="1">
        <v>43281</v>
      </c>
      <c r="B1796" t="s">
        <v>17</v>
      </c>
      <c r="C1796">
        <v>1564</v>
      </c>
      <c r="D1796" t="s">
        <v>19</v>
      </c>
    </row>
    <row r="1797" spans="1:4" x14ac:dyDescent="0.3">
      <c r="A1797" s="1">
        <v>43281</v>
      </c>
      <c r="B1797" t="s">
        <v>17</v>
      </c>
      <c r="C1797">
        <v>969</v>
      </c>
      <c r="D1797" t="s">
        <v>20</v>
      </c>
    </row>
    <row r="1798" spans="1:4" x14ac:dyDescent="0.3">
      <c r="A1798" s="1">
        <v>43281</v>
      </c>
      <c r="B1798" t="s">
        <v>17</v>
      </c>
      <c r="C1798">
        <v>5650</v>
      </c>
      <c r="D1798" t="s">
        <v>21</v>
      </c>
    </row>
    <row r="1799" spans="1:4" x14ac:dyDescent="0.3">
      <c r="A1799" s="1">
        <v>43281</v>
      </c>
      <c r="B1799" t="s">
        <v>17</v>
      </c>
      <c r="C1799">
        <v>2343</v>
      </c>
      <c r="D1799" t="s">
        <v>22</v>
      </c>
    </row>
    <row r="1800" spans="1:4" x14ac:dyDescent="0.3">
      <c r="A1800" s="1">
        <v>43281</v>
      </c>
      <c r="B1800" t="s">
        <v>17</v>
      </c>
      <c r="C1800">
        <v>11166</v>
      </c>
      <c r="D1800" t="s">
        <v>23</v>
      </c>
    </row>
    <row r="1801" spans="1:4" x14ac:dyDescent="0.3">
      <c r="A1801" s="1">
        <v>43281</v>
      </c>
      <c r="B1801" t="s">
        <v>17</v>
      </c>
      <c r="C1801">
        <v>440</v>
      </c>
      <c r="D1801" t="s">
        <v>28</v>
      </c>
    </row>
    <row r="1802" spans="1:4" x14ac:dyDescent="0.3">
      <c r="A1802" s="1">
        <v>43281</v>
      </c>
      <c r="B1802" t="s">
        <v>17</v>
      </c>
      <c r="C1802">
        <v>4261</v>
      </c>
      <c r="D1802" t="s">
        <v>24</v>
      </c>
    </row>
    <row r="1803" spans="1:4" x14ac:dyDescent="0.3">
      <c r="A1803" s="1">
        <v>43281</v>
      </c>
      <c r="B1803" t="s">
        <v>17</v>
      </c>
      <c r="C1803">
        <v>3740</v>
      </c>
      <c r="D1803" t="s">
        <v>25</v>
      </c>
    </row>
    <row r="1804" spans="1:4" x14ac:dyDescent="0.3">
      <c r="A1804" s="1">
        <v>43281</v>
      </c>
      <c r="B1804" t="s">
        <v>17</v>
      </c>
      <c r="C1804">
        <v>2659</v>
      </c>
      <c r="D1804" t="s">
        <v>26</v>
      </c>
    </row>
    <row r="1805" spans="1:4" x14ac:dyDescent="0.3">
      <c r="A1805" s="1">
        <v>43281</v>
      </c>
      <c r="B1805" t="s">
        <v>17</v>
      </c>
      <c r="C1805">
        <v>5972</v>
      </c>
      <c r="D1805" t="s">
        <v>27</v>
      </c>
    </row>
    <row r="1806" spans="1:4" x14ac:dyDescent="0.3">
      <c r="A1806" s="1">
        <v>43373</v>
      </c>
      <c r="B1806" t="s">
        <v>17</v>
      </c>
      <c r="C1806">
        <v>2174</v>
      </c>
      <c r="D1806" t="s">
        <v>18</v>
      </c>
    </row>
    <row r="1807" spans="1:4" x14ac:dyDescent="0.3">
      <c r="A1807" s="1">
        <v>43373</v>
      </c>
      <c r="B1807" t="s">
        <v>17</v>
      </c>
      <c r="C1807">
        <v>1620</v>
      </c>
      <c r="D1807" t="s">
        <v>19</v>
      </c>
    </row>
    <row r="1808" spans="1:4" x14ac:dyDescent="0.3">
      <c r="A1808" s="1">
        <v>43373</v>
      </c>
      <c r="B1808" t="s">
        <v>17</v>
      </c>
      <c r="C1808">
        <v>958</v>
      </c>
      <c r="D1808" t="s">
        <v>20</v>
      </c>
    </row>
    <row r="1809" spans="1:4" x14ac:dyDescent="0.3">
      <c r="A1809" s="1">
        <v>43373</v>
      </c>
      <c r="B1809" t="s">
        <v>17</v>
      </c>
      <c r="C1809">
        <v>5658</v>
      </c>
      <c r="D1809" t="s">
        <v>21</v>
      </c>
    </row>
    <row r="1810" spans="1:4" x14ac:dyDescent="0.3">
      <c r="A1810" s="1">
        <v>43373</v>
      </c>
      <c r="B1810" t="s">
        <v>17</v>
      </c>
      <c r="C1810">
        <v>2383</v>
      </c>
      <c r="D1810" t="s">
        <v>22</v>
      </c>
    </row>
    <row r="1811" spans="1:4" x14ac:dyDescent="0.3">
      <c r="A1811" s="1">
        <v>43373</v>
      </c>
      <c r="B1811" t="s">
        <v>17</v>
      </c>
      <c r="C1811">
        <v>11312</v>
      </c>
      <c r="D1811" t="s">
        <v>23</v>
      </c>
    </row>
    <row r="1812" spans="1:4" x14ac:dyDescent="0.3">
      <c r="A1812" s="1">
        <v>43373</v>
      </c>
      <c r="B1812" t="s">
        <v>17</v>
      </c>
      <c r="C1812">
        <v>451</v>
      </c>
      <c r="D1812" t="s">
        <v>28</v>
      </c>
    </row>
    <row r="1813" spans="1:4" x14ac:dyDescent="0.3">
      <c r="A1813" s="1">
        <v>43373</v>
      </c>
      <c r="B1813" t="s">
        <v>17</v>
      </c>
      <c r="C1813">
        <v>4355</v>
      </c>
      <c r="D1813" t="s">
        <v>24</v>
      </c>
    </row>
    <row r="1814" spans="1:4" x14ac:dyDescent="0.3">
      <c r="A1814" s="1">
        <v>43373</v>
      </c>
      <c r="B1814" t="s">
        <v>17</v>
      </c>
      <c r="C1814">
        <v>3859</v>
      </c>
      <c r="D1814" t="s">
        <v>25</v>
      </c>
    </row>
    <row r="1815" spans="1:4" x14ac:dyDescent="0.3">
      <c r="A1815" s="1">
        <v>43373</v>
      </c>
      <c r="B1815" t="s">
        <v>17</v>
      </c>
      <c r="C1815">
        <v>2734</v>
      </c>
      <c r="D1815" t="s">
        <v>26</v>
      </c>
    </row>
    <row r="1816" spans="1:4" x14ac:dyDescent="0.3">
      <c r="A1816" s="1">
        <v>43373</v>
      </c>
      <c r="B1816" t="s">
        <v>17</v>
      </c>
      <c r="C1816">
        <v>6133</v>
      </c>
      <c r="D1816" t="s">
        <v>27</v>
      </c>
    </row>
    <row r="1817" spans="1:4" x14ac:dyDescent="0.3">
      <c r="A1817" s="1">
        <v>43465</v>
      </c>
      <c r="B1817" t="s">
        <v>17</v>
      </c>
      <c r="C1817">
        <v>2241</v>
      </c>
      <c r="D1817" t="s">
        <v>18</v>
      </c>
    </row>
    <row r="1818" spans="1:4" x14ac:dyDescent="0.3">
      <c r="A1818" s="1">
        <v>43465</v>
      </c>
      <c r="B1818" t="s">
        <v>17</v>
      </c>
      <c r="C1818">
        <v>1646</v>
      </c>
      <c r="D1818" t="s">
        <v>19</v>
      </c>
    </row>
    <row r="1819" spans="1:4" x14ac:dyDescent="0.3">
      <c r="A1819" s="1">
        <v>43465</v>
      </c>
      <c r="B1819" t="s">
        <v>17</v>
      </c>
      <c r="C1819">
        <v>950</v>
      </c>
      <c r="D1819" t="s">
        <v>20</v>
      </c>
    </row>
    <row r="1820" spans="1:4" x14ac:dyDescent="0.3">
      <c r="A1820" s="1">
        <v>43465</v>
      </c>
      <c r="B1820" t="s">
        <v>17</v>
      </c>
      <c r="C1820">
        <v>5741</v>
      </c>
      <c r="D1820" t="s">
        <v>21</v>
      </c>
    </row>
    <row r="1821" spans="1:4" x14ac:dyDescent="0.3">
      <c r="A1821" s="1">
        <v>43465</v>
      </c>
      <c r="B1821" t="s">
        <v>17</v>
      </c>
      <c r="C1821">
        <v>2409</v>
      </c>
      <c r="D1821" t="s">
        <v>22</v>
      </c>
    </row>
    <row r="1822" spans="1:4" x14ac:dyDescent="0.3">
      <c r="A1822" s="1">
        <v>43465</v>
      </c>
      <c r="B1822" t="s">
        <v>17</v>
      </c>
      <c r="C1822">
        <v>11441</v>
      </c>
      <c r="D1822" t="s">
        <v>23</v>
      </c>
    </row>
    <row r="1823" spans="1:4" x14ac:dyDescent="0.3">
      <c r="A1823" s="1">
        <v>43465</v>
      </c>
      <c r="B1823" t="s">
        <v>17</v>
      </c>
      <c r="C1823">
        <v>470</v>
      </c>
      <c r="D1823" t="s">
        <v>28</v>
      </c>
    </row>
    <row r="1824" spans="1:4" x14ac:dyDescent="0.3">
      <c r="A1824" s="1">
        <v>43465</v>
      </c>
      <c r="B1824" t="s">
        <v>17</v>
      </c>
      <c r="C1824">
        <v>4454</v>
      </c>
      <c r="D1824" t="s">
        <v>24</v>
      </c>
    </row>
    <row r="1825" spans="1:4" x14ac:dyDescent="0.3">
      <c r="A1825" s="1">
        <v>43465</v>
      </c>
      <c r="B1825" t="s">
        <v>17</v>
      </c>
      <c r="C1825">
        <v>3895</v>
      </c>
      <c r="D1825" t="s">
        <v>25</v>
      </c>
    </row>
    <row r="1826" spans="1:4" x14ac:dyDescent="0.3">
      <c r="A1826" s="1">
        <v>43465</v>
      </c>
      <c r="B1826" t="s">
        <v>17</v>
      </c>
      <c r="C1826">
        <v>2818</v>
      </c>
      <c r="D1826" t="s">
        <v>26</v>
      </c>
    </row>
    <row r="1827" spans="1:4" x14ac:dyDescent="0.3">
      <c r="A1827" s="1">
        <v>43465</v>
      </c>
      <c r="B1827" t="s">
        <v>17</v>
      </c>
      <c r="C1827">
        <v>6154</v>
      </c>
      <c r="D1827" t="s">
        <v>27</v>
      </c>
    </row>
    <row r="1828" spans="1:4" x14ac:dyDescent="0.3">
      <c r="A1828" s="1">
        <v>43555</v>
      </c>
      <c r="B1828" t="s">
        <v>17</v>
      </c>
      <c r="C1828">
        <v>2265</v>
      </c>
      <c r="D1828" t="s">
        <v>18</v>
      </c>
    </row>
    <row r="1829" spans="1:4" x14ac:dyDescent="0.3">
      <c r="A1829" s="1">
        <v>43555</v>
      </c>
      <c r="B1829" t="s">
        <v>17</v>
      </c>
      <c r="C1829">
        <v>1623</v>
      </c>
      <c r="D1829" t="s">
        <v>19</v>
      </c>
    </row>
    <row r="1830" spans="1:4" x14ac:dyDescent="0.3">
      <c r="A1830" s="1">
        <v>43555</v>
      </c>
      <c r="B1830" t="s">
        <v>17</v>
      </c>
      <c r="C1830">
        <v>943</v>
      </c>
      <c r="D1830" t="s">
        <v>20</v>
      </c>
    </row>
    <row r="1831" spans="1:4" x14ac:dyDescent="0.3">
      <c r="A1831" s="1">
        <v>43555</v>
      </c>
      <c r="B1831" t="s">
        <v>17</v>
      </c>
      <c r="C1831">
        <v>5711</v>
      </c>
      <c r="D1831" t="s">
        <v>21</v>
      </c>
    </row>
    <row r="1832" spans="1:4" x14ac:dyDescent="0.3">
      <c r="A1832" s="1">
        <v>43555</v>
      </c>
      <c r="B1832" t="s">
        <v>17</v>
      </c>
      <c r="C1832">
        <v>2426</v>
      </c>
      <c r="D1832" t="s">
        <v>22</v>
      </c>
    </row>
    <row r="1833" spans="1:4" x14ac:dyDescent="0.3">
      <c r="A1833" s="1">
        <v>43555</v>
      </c>
      <c r="B1833" t="s">
        <v>17</v>
      </c>
      <c r="C1833">
        <v>11646</v>
      </c>
      <c r="D1833" t="s">
        <v>23</v>
      </c>
    </row>
    <row r="1834" spans="1:4" x14ac:dyDescent="0.3">
      <c r="A1834" s="1">
        <v>43555</v>
      </c>
      <c r="B1834" t="s">
        <v>17</v>
      </c>
      <c r="C1834">
        <v>494</v>
      </c>
      <c r="D1834" t="s">
        <v>28</v>
      </c>
    </row>
    <row r="1835" spans="1:4" x14ac:dyDescent="0.3">
      <c r="A1835" s="1">
        <v>43555</v>
      </c>
      <c r="B1835" t="s">
        <v>17</v>
      </c>
      <c r="C1835">
        <v>4583</v>
      </c>
      <c r="D1835" t="s">
        <v>24</v>
      </c>
    </row>
    <row r="1836" spans="1:4" x14ac:dyDescent="0.3">
      <c r="A1836" s="1">
        <v>43555</v>
      </c>
      <c r="B1836" t="s">
        <v>17</v>
      </c>
      <c r="C1836">
        <v>3813</v>
      </c>
      <c r="D1836" t="s">
        <v>25</v>
      </c>
    </row>
    <row r="1837" spans="1:4" x14ac:dyDescent="0.3">
      <c r="A1837" s="1">
        <v>43555</v>
      </c>
      <c r="B1837" t="s">
        <v>17</v>
      </c>
      <c r="C1837">
        <v>2778</v>
      </c>
      <c r="D1837" t="s">
        <v>26</v>
      </c>
    </row>
    <row r="1838" spans="1:4" x14ac:dyDescent="0.3">
      <c r="A1838" s="1">
        <v>43555</v>
      </c>
      <c r="B1838" t="s">
        <v>17</v>
      </c>
      <c r="C1838">
        <v>5996</v>
      </c>
      <c r="D1838" t="s">
        <v>27</v>
      </c>
    </row>
    <row r="1839" spans="1:4" x14ac:dyDescent="0.3">
      <c r="A1839" s="1">
        <v>43646</v>
      </c>
      <c r="B1839" t="s">
        <v>17</v>
      </c>
      <c r="C1839">
        <v>2335</v>
      </c>
      <c r="D1839" t="s">
        <v>18</v>
      </c>
    </row>
    <row r="1840" spans="1:4" x14ac:dyDescent="0.3">
      <c r="A1840" s="1">
        <v>43646</v>
      </c>
      <c r="B1840" t="s">
        <v>17</v>
      </c>
      <c r="C1840">
        <v>1668</v>
      </c>
      <c r="D1840" t="s">
        <v>19</v>
      </c>
    </row>
    <row r="1841" spans="1:4" x14ac:dyDescent="0.3">
      <c r="A1841" s="1">
        <v>43646</v>
      </c>
      <c r="B1841" t="s">
        <v>17</v>
      </c>
      <c r="C1841">
        <v>958</v>
      </c>
      <c r="D1841" t="s">
        <v>20</v>
      </c>
    </row>
    <row r="1842" spans="1:4" x14ac:dyDescent="0.3">
      <c r="A1842" s="1">
        <v>43646</v>
      </c>
      <c r="B1842" t="s">
        <v>17</v>
      </c>
      <c r="C1842">
        <v>5697</v>
      </c>
      <c r="D1842" t="s">
        <v>21</v>
      </c>
    </row>
    <row r="1843" spans="1:4" x14ac:dyDescent="0.3">
      <c r="A1843" s="1">
        <v>43646</v>
      </c>
      <c r="B1843" t="s">
        <v>17</v>
      </c>
      <c r="C1843">
        <v>2453</v>
      </c>
      <c r="D1843" t="s">
        <v>22</v>
      </c>
    </row>
    <row r="1844" spans="1:4" x14ac:dyDescent="0.3">
      <c r="A1844" s="1">
        <v>43646</v>
      </c>
      <c r="B1844" t="s">
        <v>17</v>
      </c>
      <c r="C1844">
        <v>11855</v>
      </c>
      <c r="D1844" t="s">
        <v>23</v>
      </c>
    </row>
    <row r="1845" spans="1:4" x14ac:dyDescent="0.3">
      <c r="A1845" s="1">
        <v>43646</v>
      </c>
      <c r="B1845" t="s">
        <v>17</v>
      </c>
      <c r="C1845">
        <v>533</v>
      </c>
      <c r="D1845" t="s">
        <v>28</v>
      </c>
    </row>
    <row r="1846" spans="1:4" x14ac:dyDescent="0.3">
      <c r="A1846" s="1">
        <v>43646</v>
      </c>
      <c r="B1846" t="s">
        <v>17</v>
      </c>
      <c r="C1846">
        <v>4649</v>
      </c>
      <c r="D1846" t="s">
        <v>24</v>
      </c>
    </row>
    <row r="1847" spans="1:4" x14ac:dyDescent="0.3">
      <c r="A1847" s="1">
        <v>43646</v>
      </c>
      <c r="B1847" t="s">
        <v>17</v>
      </c>
      <c r="C1847">
        <v>3983</v>
      </c>
      <c r="D1847" t="s">
        <v>25</v>
      </c>
    </row>
    <row r="1848" spans="1:4" x14ac:dyDescent="0.3">
      <c r="A1848" s="1">
        <v>43646</v>
      </c>
      <c r="B1848" t="s">
        <v>17</v>
      </c>
      <c r="C1848">
        <v>2827</v>
      </c>
      <c r="D1848" t="s">
        <v>26</v>
      </c>
    </row>
    <row r="1849" spans="1:4" x14ac:dyDescent="0.3">
      <c r="A1849" s="1">
        <v>43646</v>
      </c>
      <c r="B1849" t="s">
        <v>17</v>
      </c>
      <c r="C1849">
        <v>6012</v>
      </c>
      <c r="D1849" t="s">
        <v>27</v>
      </c>
    </row>
    <row r="1850" spans="1:4" x14ac:dyDescent="0.3">
      <c r="A1850" s="1">
        <v>43738</v>
      </c>
      <c r="B1850" t="s">
        <v>17</v>
      </c>
      <c r="C1850">
        <v>2402</v>
      </c>
      <c r="D1850" t="s">
        <v>18</v>
      </c>
    </row>
    <row r="1851" spans="1:4" x14ac:dyDescent="0.3">
      <c r="A1851" s="1">
        <v>43738</v>
      </c>
      <c r="B1851" t="s">
        <v>17</v>
      </c>
      <c r="C1851">
        <v>1703</v>
      </c>
      <c r="D1851" t="s">
        <v>19</v>
      </c>
    </row>
    <row r="1852" spans="1:4" x14ac:dyDescent="0.3">
      <c r="A1852" s="1">
        <v>43738</v>
      </c>
      <c r="B1852" t="s">
        <v>17</v>
      </c>
      <c r="C1852">
        <v>974</v>
      </c>
      <c r="D1852" t="s">
        <v>20</v>
      </c>
    </row>
    <row r="1853" spans="1:4" x14ac:dyDescent="0.3">
      <c r="A1853" s="1">
        <v>43738</v>
      </c>
      <c r="B1853" t="s">
        <v>17</v>
      </c>
      <c r="C1853">
        <v>5723</v>
      </c>
      <c r="D1853" t="s">
        <v>21</v>
      </c>
    </row>
    <row r="1854" spans="1:4" x14ac:dyDescent="0.3">
      <c r="A1854" s="1">
        <v>43738</v>
      </c>
      <c r="B1854" t="s">
        <v>17</v>
      </c>
      <c r="C1854">
        <v>2524</v>
      </c>
      <c r="D1854" t="s">
        <v>22</v>
      </c>
    </row>
    <row r="1855" spans="1:4" x14ac:dyDescent="0.3">
      <c r="A1855" s="1">
        <v>43738</v>
      </c>
      <c r="B1855" t="s">
        <v>17</v>
      </c>
      <c r="C1855">
        <v>12040</v>
      </c>
      <c r="D1855" t="s">
        <v>23</v>
      </c>
    </row>
    <row r="1856" spans="1:4" x14ac:dyDescent="0.3">
      <c r="A1856" s="1">
        <v>43738</v>
      </c>
      <c r="B1856" t="s">
        <v>17</v>
      </c>
      <c r="C1856">
        <v>581</v>
      </c>
      <c r="D1856" t="s">
        <v>28</v>
      </c>
    </row>
    <row r="1857" spans="1:4" x14ac:dyDescent="0.3">
      <c r="A1857" s="1">
        <v>43738</v>
      </c>
      <c r="B1857" t="s">
        <v>17</v>
      </c>
      <c r="C1857">
        <v>4730</v>
      </c>
      <c r="D1857" t="s">
        <v>24</v>
      </c>
    </row>
    <row r="1858" spans="1:4" x14ac:dyDescent="0.3">
      <c r="A1858" s="1">
        <v>43738</v>
      </c>
      <c r="B1858" t="s">
        <v>17</v>
      </c>
      <c r="C1858">
        <v>4045</v>
      </c>
      <c r="D1858" t="s">
        <v>25</v>
      </c>
    </row>
    <row r="1859" spans="1:4" x14ac:dyDescent="0.3">
      <c r="A1859" s="1">
        <v>43738</v>
      </c>
      <c r="B1859" t="s">
        <v>17</v>
      </c>
      <c r="C1859">
        <v>2864</v>
      </c>
      <c r="D1859" t="s">
        <v>26</v>
      </c>
    </row>
    <row r="1860" spans="1:4" x14ac:dyDescent="0.3">
      <c r="A1860" s="1">
        <v>43738</v>
      </c>
      <c r="B1860" t="s">
        <v>17</v>
      </c>
      <c r="C1860">
        <v>5995</v>
      </c>
      <c r="D1860" t="s">
        <v>27</v>
      </c>
    </row>
    <row r="1861" spans="1:4" x14ac:dyDescent="0.3">
      <c r="A1861" s="1">
        <v>43830</v>
      </c>
      <c r="B1861" t="s">
        <v>17</v>
      </c>
      <c r="C1861">
        <v>2461</v>
      </c>
      <c r="D1861" t="s">
        <v>18</v>
      </c>
    </row>
    <row r="1862" spans="1:4" x14ac:dyDescent="0.3">
      <c r="A1862" s="1">
        <v>43830</v>
      </c>
      <c r="B1862" t="s">
        <v>17</v>
      </c>
      <c r="C1862">
        <v>1723</v>
      </c>
      <c r="D1862" t="s">
        <v>19</v>
      </c>
    </row>
    <row r="1863" spans="1:4" x14ac:dyDescent="0.3">
      <c r="A1863" s="1">
        <v>43830</v>
      </c>
      <c r="B1863" t="s">
        <v>17</v>
      </c>
      <c r="C1863">
        <v>973</v>
      </c>
      <c r="D1863" t="s">
        <v>20</v>
      </c>
    </row>
    <row r="1864" spans="1:4" x14ac:dyDescent="0.3">
      <c r="A1864" s="1">
        <v>43830</v>
      </c>
      <c r="B1864" t="s">
        <v>17</v>
      </c>
      <c r="C1864">
        <v>5770</v>
      </c>
      <c r="D1864" t="s">
        <v>21</v>
      </c>
    </row>
    <row r="1865" spans="1:4" x14ac:dyDescent="0.3">
      <c r="A1865" s="1">
        <v>43830</v>
      </c>
      <c r="B1865" t="s">
        <v>17</v>
      </c>
      <c r="C1865">
        <v>2554</v>
      </c>
      <c r="D1865" t="s">
        <v>22</v>
      </c>
    </row>
    <row r="1866" spans="1:4" x14ac:dyDescent="0.3">
      <c r="A1866" s="1">
        <v>43830</v>
      </c>
      <c r="B1866" t="s">
        <v>17</v>
      </c>
      <c r="C1866">
        <v>12173</v>
      </c>
      <c r="D1866" t="s">
        <v>23</v>
      </c>
    </row>
    <row r="1867" spans="1:4" x14ac:dyDescent="0.3">
      <c r="A1867" s="1">
        <v>43830</v>
      </c>
      <c r="B1867" t="s">
        <v>17</v>
      </c>
      <c r="C1867">
        <v>560</v>
      </c>
      <c r="D1867" t="s">
        <v>28</v>
      </c>
    </row>
    <row r="1868" spans="1:4" x14ac:dyDescent="0.3">
      <c r="A1868" s="1">
        <v>43830</v>
      </c>
      <c r="B1868" t="s">
        <v>17</v>
      </c>
      <c r="C1868">
        <v>4734</v>
      </c>
      <c r="D1868" t="s">
        <v>24</v>
      </c>
    </row>
    <row r="1869" spans="1:4" x14ac:dyDescent="0.3">
      <c r="A1869" s="1">
        <v>43830</v>
      </c>
      <c r="B1869" t="s">
        <v>17</v>
      </c>
      <c r="C1869">
        <v>4124</v>
      </c>
      <c r="D1869" t="s">
        <v>25</v>
      </c>
    </row>
    <row r="1870" spans="1:4" x14ac:dyDescent="0.3">
      <c r="A1870" s="1">
        <v>43830</v>
      </c>
      <c r="B1870" t="s">
        <v>17</v>
      </c>
      <c r="C1870">
        <v>2914</v>
      </c>
      <c r="D1870" t="s">
        <v>26</v>
      </c>
    </row>
    <row r="1871" spans="1:4" x14ac:dyDescent="0.3">
      <c r="A1871" s="1">
        <v>43830</v>
      </c>
      <c r="B1871" t="s">
        <v>17</v>
      </c>
      <c r="C1871">
        <v>6002</v>
      </c>
      <c r="D1871" t="s">
        <v>27</v>
      </c>
    </row>
    <row r="1872" spans="1:4" x14ac:dyDescent="0.3">
      <c r="A1872" s="1">
        <v>43921</v>
      </c>
      <c r="B1872" t="s">
        <v>17</v>
      </c>
      <c r="C1872">
        <v>2535</v>
      </c>
      <c r="D1872" t="s">
        <v>18</v>
      </c>
    </row>
    <row r="1873" spans="1:4" x14ac:dyDescent="0.3">
      <c r="A1873" s="1">
        <v>43921</v>
      </c>
      <c r="B1873" t="s">
        <v>17</v>
      </c>
      <c r="C1873">
        <v>1575</v>
      </c>
      <c r="D1873" t="s">
        <v>19</v>
      </c>
    </row>
    <row r="1874" spans="1:4" x14ac:dyDescent="0.3">
      <c r="A1874" s="1">
        <v>43921</v>
      </c>
      <c r="B1874" t="s">
        <v>17</v>
      </c>
      <c r="C1874">
        <v>957</v>
      </c>
      <c r="D1874" t="s">
        <v>20</v>
      </c>
    </row>
    <row r="1875" spans="1:4" x14ac:dyDescent="0.3">
      <c r="A1875" s="1">
        <v>43921</v>
      </c>
      <c r="B1875" t="s">
        <v>17</v>
      </c>
      <c r="C1875">
        <v>6317</v>
      </c>
      <c r="D1875" t="s">
        <v>21</v>
      </c>
    </row>
    <row r="1876" spans="1:4" x14ac:dyDescent="0.3">
      <c r="A1876" s="1">
        <v>43921</v>
      </c>
      <c r="B1876" t="s">
        <v>17</v>
      </c>
      <c r="C1876">
        <v>2524</v>
      </c>
      <c r="D1876" t="s">
        <v>22</v>
      </c>
    </row>
    <row r="1877" spans="1:4" x14ac:dyDescent="0.3">
      <c r="A1877" s="1">
        <v>43921</v>
      </c>
      <c r="B1877" t="s">
        <v>17</v>
      </c>
      <c r="C1877">
        <v>12283</v>
      </c>
      <c r="D1877" t="s">
        <v>23</v>
      </c>
    </row>
    <row r="1878" spans="1:4" x14ac:dyDescent="0.3">
      <c r="A1878" s="1">
        <v>43921</v>
      </c>
      <c r="B1878" t="s">
        <v>17</v>
      </c>
      <c r="C1878">
        <v>532</v>
      </c>
      <c r="D1878" t="s">
        <v>28</v>
      </c>
    </row>
    <row r="1879" spans="1:4" x14ac:dyDescent="0.3">
      <c r="A1879" s="1">
        <v>43921</v>
      </c>
      <c r="B1879" t="s">
        <v>17</v>
      </c>
      <c r="C1879">
        <v>4752</v>
      </c>
      <c r="D1879" t="s">
        <v>24</v>
      </c>
    </row>
    <row r="1880" spans="1:4" x14ac:dyDescent="0.3">
      <c r="A1880" s="1">
        <v>43921</v>
      </c>
      <c r="B1880" t="s">
        <v>17</v>
      </c>
      <c r="C1880">
        <v>4060</v>
      </c>
      <c r="D1880" t="s">
        <v>25</v>
      </c>
    </row>
    <row r="1881" spans="1:4" x14ac:dyDescent="0.3">
      <c r="A1881" s="1">
        <v>43921</v>
      </c>
      <c r="B1881" t="s">
        <v>17</v>
      </c>
      <c r="C1881">
        <v>2611</v>
      </c>
      <c r="D1881" t="s">
        <v>26</v>
      </c>
    </row>
    <row r="1882" spans="1:4" x14ac:dyDescent="0.3">
      <c r="A1882" s="1">
        <v>43921</v>
      </c>
      <c r="B1882" t="s">
        <v>17</v>
      </c>
      <c r="C1882">
        <v>5645</v>
      </c>
      <c r="D1882" t="s">
        <v>27</v>
      </c>
    </row>
    <row r="1883" spans="1:4" x14ac:dyDescent="0.3">
      <c r="A1883" s="1">
        <v>44012</v>
      </c>
      <c r="B1883" t="s">
        <v>17</v>
      </c>
      <c r="C1883">
        <v>2018</v>
      </c>
      <c r="D1883" t="s">
        <v>18</v>
      </c>
    </row>
    <row r="1884" spans="1:4" x14ac:dyDescent="0.3">
      <c r="A1884" s="1">
        <v>44012</v>
      </c>
      <c r="B1884" t="s">
        <v>17</v>
      </c>
      <c r="C1884">
        <v>1334</v>
      </c>
      <c r="D1884" t="s">
        <v>19</v>
      </c>
    </row>
    <row r="1885" spans="1:4" x14ac:dyDescent="0.3">
      <c r="A1885" s="1">
        <v>44012</v>
      </c>
      <c r="B1885" t="s">
        <v>17</v>
      </c>
      <c r="C1885">
        <v>966</v>
      </c>
      <c r="D1885" t="s">
        <v>20</v>
      </c>
    </row>
    <row r="1886" spans="1:4" x14ac:dyDescent="0.3">
      <c r="A1886" s="1">
        <v>44012</v>
      </c>
      <c r="B1886" t="s">
        <v>17</v>
      </c>
      <c r="C1886">
        <v>6123</v>
      </c>
      <c r="D1886" t="s">
        <v>21</v>
      </c>
    </row>
    <row r="1887" spans="1:4" x14ac:dyDescent="0.3">
      <c r="A1887" s="1">
        <v>44012</v>
      </c>
      <c r="B1887" t="s">
        <v>17</v>
      </c>
      <c r="C1887">
        <v>2241</v>
      </c>
      <c r="D1887" t="s">
        <v>22</v>
      </c>
    </row>
    <row r="1888" spans="1:4" x14ac:dyDescent="0.3">
      <c r="A1888" s="1">
        <v>44012</v>
      </c>
      <c r="B1888" t="s">
        <v>17</v>
      </c>
      <c r="C1888">
        <v>12309</v>
      </c>
      <c r="D1888" t="s">
        <v>23</v>
      </c>
    </row>
    <row r="1889" spans="1:4" x14ac:dyDescent="0.3">
      <c r="A1889" s="1">
        <v>44012</v>
      </c>
      <c r="B1889" t="s">
        <v>17</v>
      </c>
      <c r="C1889">
        <v>518</v>
      </c>
      <c r="D1889" t="s">
        <v>28</v>
      </c>
    </row>
    <row r="1890" spans="1:4" x14ac:dyDescent="0.3">
      <c r="A1890" s="1">
        <v>44012</v>
      </c>
      <c r="B1890" t="s">
        <v>17</v>
      </c>
      <c r="C1890">
        <v>4381</v>
      </c>
      <c r="D1890" t="s">
        <v>24</v>
      </c>
    </row>
    <row r="1891" spans="1:4" x14ac:dyDescent="0.3">
      <c r="A1891" s="1">
        <v>44012</v>
      </c>
      <c r="B1891" t="s">
        <v>17</v>
      </c>
      <c r="C1891">
        <v>3527</v>
      </c>
      <c r="D1891" t="s">
        <v>25</v>
      </c>
    </row>
    <row r="1892" spans="1:4" x14ac:dyDescent="0.3">
      <c r="A1892" s="1">
        <v>44012</v>
      </c>
      <c r="B1892" t="s">
        <v>17</v>
      </c>
      <c r="C1892">
        <v>1963</v>
      </c>
      <c r="D1892" t="s">
        <v>26</v>
      </c>
    </row>
    <row r="1893" spans="1:4" x14ac:dyDescent="0.3">
      <c r="A1893" s="1">
        <v>44012</v>
      </c>
      <c r="B1893" t="s">
        <v>17</v>
      </c>
      <c r="C1893">
        <v>3381</v>
      </c>
      <c r="D1893" t="s">
        <v>27</v>
      </c>
    </row>
    <row r="1894" spans="1:4" x14ac:dyDescent="0.3">
      <c r="A1894" s="1">
        <v>44104</v>
      </c>
      <c r="B1894" t="s">
        <v>17</v>
      </c>
      <c r="C1894">
        <v>2489</v>
      </c>
      <c r="D1894" t="s">
        <v>18</v>
      </c>
    </row>
    <row r="1895" spans="1:4" x14ac:dyDescent="0.3">
      <c r="A1895" s="1">
        <v>44104</v>
      </c>
      <c r="B1895" t="s">
        <v>17</v>
      </c>
      <c r="C1895">
        <v>1826</v>
      </c>
      <c r="D1895" t="s">
        <v>19</v>
      </c>
    </row>
    <row r="1896" spans="1:4" x14ac:dyDescent="0.3">
      <c r="A1896" s="1">
        <v>44104</v>
      </c>
      <c r="B1896" t="s">
        <v>17</v>
      </c>
      <c r="C1896">
        <v>973</v>
      </c>
      <c r="D1896" t="s">
        <v>20</v>
      </c>
    </row>
    <row r="1897" spans="1:4" x14ac:dyDescent="0.3">
      <c r="A1897" s="1">
        <v>44104</v>
      </c>
      <c r="B1897" t="s">
        <v>17</v>
      </c>
      <c r="C1897">
        <v>6204</v>
      </c>
      <c r="D1897" t="s">
        <v>21</v>
      </c>
    </row>
    <row r="1898" spans="1:4" x14ac:dyDescent="0.3">
      <c r="A1898" s="1">
        <v>44104</v>
      </c>
      <c r="B1898" t="s">
        <v>17</v>
      </c>
      <c r="C1898">
        <v>2931</v>
      </c>
      <c r="D1898" t="s">
        <v>22</v>
      </c>
    </row>
    <row r="1899" spans="1:4" x14ac:dyDescent="0.3">
      <c r="A1899" s="1">
        <v>44104</v>
      </c>
      <c r="B1899" t="s">
        <v>17</v>
      </c>
      <c r="C1899">
        <v>12583</v>
      </c>
      <c r="D1899" t="s">
        <v>23</v>
      </c>
    </row>
    <row r="1900" spans="1:4" x14ac:dyDescent="0.3">
      <c r="A1900" s="1">
        <v>44104</v>
      </c>
      <c r="B1900" t="s">
        <v>17</v>
      </c>
      <c r="C1900">
        <v>507</v>
      </c>
      <c r="D1900" t="s">
        <v>28</v>
      </c>
    </row>
    <row r="1901" spans="1:4" x14ac:dyDescent="0.3">
      <c r="A1901" s="1">
        <v>44104</v>
      </c>
      <c r="B1901" t="s">
        <v>17</v>
      </c>
      <c r="C1901">
        <v>4766</v>
      </c>
      <c r="D1901" t="s">
        <v>24</v>
      </c>
    </row>
    <row r="1902" spans="1:4" x14ac:dyDescent="0.3">
      <c r="A1902" s="1">
        <v>44104</v>
      </c>
      <c r="B1902" t="s">
        <v>17</v>
      </c>
      <c r="C1902">
        <v>4256</v>
      </c>
      <c r="D1902" t="s">
        <v>25</v>
      </c>
    </row>
    <row r="1903" spans="1:4" x14ac:dyDescent="0.3">
      <c r="A1903" s="1">
        <v>44104</v>
      </c>
      <c r="B1903" t="s">
        <v>17</v>
      </c>
      <c r="C1903">
        <v>2990</v>
      </c>
      <c r="D1903" t="s">
        <v>26</v>
      </c>
    </row>
    <row r="1904" spans="1:4" x14ac:dyDescent="0.3">
      <c r="A1904" s="1">
        <v>44104</v>
      </c>
      <c r="B1904" t="s">
        <v>17</v>
      </c>
      <c r="C1904">
        <v>4836</v>
      </c>
      <c r="D1904" t="s">
        <v>27</v>
      </c>
    </row>
    <row r="1905" spans="1:4" x14ac:dyDescent="0.3">
      <c r="A1905" s="1">
        <v>44196</v>
      </c>
      <c r="B1905" t="s">
        <v>17</v>
      </c>
      <c r="C1905">
        <v>2416</v>
      </c>
      <c r="D1905" t="s">
        <v>18</v>
      </c>
    </row>
    <row r="1906" spans="1:4" x14ac:dyDescent="0.3">
      <c r="A1906" s="1">
        <v>44196</v>
      </c>
      <c r="B1906" t="s">
        <v>17</v>
      </c>
      <c r="C1906">
        <v>1909</v>
      </c>
      <c r="D1906" t="s">
        <v>19</v>
      </c>
    </row>
    <row r="1907" spans="1:4" x14ac:dyDescent="0.3">
      <c r="A1907" s="1">
        <v>44196</v>
      </c>
      <c r="B1907" t="s">
        <v>17</v>
      </c>
      <c r="C1907">
        <v>980</v>
      </c>
      <c r="D1907" t="s">
        <v>20</v>
      </c>
    </row>
    <row r="1908" spans="1:4" x14ac:dyDescent="0.3">
      <c r="A1908" s="1">
        <v>44196</v>
      </c>
      <c r="B1908" t="s">
        <v>17</v>
      </c>
      <c r="C1908">
        <v>6063</v>
      </c>
      <c r="D1908" t="s">
        <v>21</v>
      </c>
    </row>
    <row r="1909" spans="1:4" x14ac:dyDescent="0.3">
      <c r="A1909" s="1">
        <v>44196</v>
      </c>
      <c r="B1909" t="s">
        <v>17</v>
      </c>
      <c r="C1909">
        <v>2987</v>
      </c>
      <c r="D1909" t="s">
        <v>22</v>
      </c>
    </row>
    <row r="1910" spans="1:4" x14ac:dyDescent="0.3">
      <c r="A1910" s="1">
        <v>44196</v>
      </c>
      <c r="B1910" t="s">
        <v>17</v>
      </c>
      <c r="C1910">
        <v>12797</v>
      </c>
      <c r="D1910" t="s">
        <v>23</v>
      </c>
    </row>
    <row r="1911" spans="1:4" x14ac:dyDescent="0.3">
      <c r="A1911" s="1">
        <v>44196</v>
      </c>
      <c r="B1911" t="s">
        <v>17</v>
      </c>
      <c r="C1911">
        <v>483</v>
      </c>
      <c r="D1911" t="s">
        <v>28</v>
      </c>
    </row>
    <row r="1912" spans="1:4" x14ac:dyDescent="0.3">
      <c r="A1912" s="1">
        <v>44196</v>
      </c>
      <c r="B1912" t="s">
        <v>17</v>
      </c>
      <c r="C1912">
        <v>4922</v>
      </c>
      <c r="D1912" t="s">
        <v>24</v>
      </c>
    </row>
    <row r="1913" spans="1:4" x14ac:dyDescent="0.3">
      <c r="A1913" s="1">
        <v>44196</v>
      </c>
      <c r="B1913" t="s">
        <v>17</v>
      </c>
      <c r="C1913">
        <v>4419</v>
      </c>
      <c r="D1913" t="s">
        <v>25</v>
      </c>
    </row>
    <row r="1914" spans="1:4" x14ac:dyDescent="0.3">
      <c r="A1914" s="1">
        <v>44196</v>
      </c>
      <c r="B1914" t="s">
        <v>17</v>
      </c>
      <c r="C1914">
        <v>3397</v>
      </c>
      <c r="D1914" t="s">
        <v>26</v>
      </c>
    </row>
    <row r="1915" spans="1:4" x14ac:dyDescent="0.3">
      <c r="A1915" s="1">
        <v>44196</v>
      </c>
      <c r="B1915" t="s">
        <v>17</v>
      </c>
      <c r="C1915">
        <v>4963</v>
      </c>
      <c r="D1915" t="s">
        <v>27</v>
      </c>
    </row>
    <row r="1916" spans="1:4" x14ac:dyDescent="0.3">
      <c r="A1916" s="1">
        <v>44286</v>
      </c>
      <c r="B1916" t="s">
        <v>17</v>
      </c>
      <c r="C1916">
        <v>2408</v>
      </c>
      <c r="D1916" t="s">
        <v>18</v>
      </c>
    </row>
    <row r="1917" spans="1:4" x14ac:dyDescent="0.3">
      <c r="A1917" s="1">
        <v>44286</v>
      </c>
      <c r="B1917" t="s">
        <v>17</v>
      </c>
      <c r="C1917">
        <v>1994</v>
      </c>
      <c r="D1917" t="s">
        <v>19</v>
      </c>
    </row>
    <row r="1918" spans="1:4" x14ac:dyDescent="0.3">
      <c r="A1918" s="1">
        <v>44286</v>
      </c>
      <c r="B1918" t="s">
        <v>17</v>
      </c>
      <c r="C1918">
        <v>1021</v>
      </c>
      <c r="D1918" t="s">
        <v>20</v>
      </c>
    </row>
    <row r="1919" spans="1:4" x14ac:dyDescent="0.3">
      <c r="A1919" s="1">
        <v>44286</v>
      </c>
      <c r="B1919" t="s">
        <v>17</v>
      </c>
      <c r="C1919">
        <v>6153</v>
      </c>
      <c r="D1919" t="s">
        <v>21</v>
      </c>
    </row>
    <row r="1920" spans="1:4" x14ac:dyDescent="0.3">
      <c r="A1920" s="1">
        <v>44286</v>
      </c>
      <c r="B1920" t="s">
        <v>17</v>
      </c>
      <c r="C1920">
        <v>3082</v>
      </c>
      <c r="D1920" t="s">
        <v>22</v>
      </c>
    </row>
    <row r="1921" spans="1:4" x14ac:dyDescent="0.3">
      <c r="A1921" s="1">
        <v>44286</v>
      </c>
      <c r="B1921" t="s">
        <v>17</v>
      </c>
      <c r="C1921">
        <v>13042</v>
      </c>
      <c r="D1921" t="s">
        <v>23</v>
      </c>
    </row>
    <row r="1922" spans="1:4" x14ac:dyDescent="0.3">
      <c r="A1922" s="1">
        <v>44286</v>
      </c>
      <c r="B1922" t="s">
        <v>17</v>
      </c>
      <c r="C1922">
        <v>515</v>
      </c>
      <c r="D1922" t="s">
        <v>28</v>
      </c>
    </row>
    <row r="1923" spans="1:4" x14ac:dyDescent="0.3">
      <c r="A1923" s="1">
        <v>44286</v>
      </c>
      <c r="B1923" t="s">
        <v>17</v>
      </c>
      <c r="C1923">
        <v>5053</v>
      </c>
      <c r="D1923" t="s">
        <v>24</v>
      </c>
    </row>
    <row r="1924" spans="1:4" x14ac:dyDescent="0.3">
      <c r="A1924" s="1">
        <v>44286</v>
      </c>
      <c r="B1924" t="s">
        <v>17</v>
      </c>
      <c r="C1924">
        <v>4872</v>
      </c>
      <c r="D1924" t="s">
        <v>25</v>
      </c>
    </row>
    <row r="1925" spans="1:4" x14ac:dyDescent="0.3">
      <c r="A1925" s="1">
        <v>44286</v>
      </c>
      <c r="B1925" t="s">
        <v>17</v>
      </c>
      <c r="C1925">
        <v>4289</v>
      </c>
      <c r="D1925" t="s">
        <v>26</v>
      </c>
    </row>
    <row r="1926" spans="1:4" x14ac:dyDescent="0.3">
      <c r="A1926" s="1">
        <v>44286</v>
      </c>
      <c r="B1926" t="s">
        <v>17</v>
      </c>
      <c r="C1926">
        <v>5373</v>
      </c>
      <c r="D1926" t="s">
        <v>27</v>
      </c>
    </row>
    <row r="1927" spans="1:4" x14ac:dyDescent="0.3">
      <c r="A1927" s="1">
        <v>44377</v>
      </c>
      <c r="B1927" t="s">
        <v>17</v>
      </c>
      <c r="C1927">
        <v>2457</v>
      </c>
      <c r="D1927" t="s">
        <v>18</v>
      </c>
    </row>
    <row r="1928" spans="1:4" x14ac:dyDescent="0.3">
      <c r="A1928" s="1">
        <v>44377</v>
      </c>
      <c r="B1928" t="s">
        <v>17</v>
      </c>
      <c r="C1928">
        <v>2036</v>
      </c>
      <c r="D1928" t="s">
        <v>19</v>
      </c>
    </row>
    <row r="1929" spans="1:4" x14ac:dyDescent="0.3">
      <c r="A1929" s="1">
        <v>44377</v>
      </c>
      <c r="B1929" t="s">
        <v>17</v>
      </c>
      <c r="C1929">
        <v>987</v>
      </c>
      <c r="D1929" t="s">
        <v>20</v>
      </c>
    </row>
    <row r="1930" spans="1:4" x14ac:dyDescent="0.3">
      <c r="A1930" s="1">
        <v>44377</v>
      </c>
      <c r="B1930" t="s">
        <v>17</v>
      </c>
      <c r="C1930">
        <v>6285</v>
      </c>
      <c r="D1930" t="s">
        <v>21</v>
      </c>
    </row>
    <row r="1931" spans="1:4" x14ac:dyDescent="0.3">
      <c r="A1931" s="1">
        <v>44377</v>
      </c>
      <c r="B1931" t="s">
        <v>17</v>
      </c>
      <c r="C1931">
        <v>3205</v>
      </c>
      <c r="D1931" t="s">
        <v>22</v>
      </c>
    </row>
    <row r="1932" spans="1:4" x14ac:dyDescent="0.3">
      <c r="A1932" s="1">
        <v>44377</v>
      </c>
      <c r="B1932" t="s">
        <v>17</v>
      </c>
      <c r="C1932">
        <v>13121</v>
      </c>
      <c r="D1932" t="s">
        <v>23</v>
      </c>
    </row>
    <row r="1933" spans="1:4" x14ac:dyDescent="0.3">
      <c r="A1933" s="1">
        <v>44377</v>
      </c>
      <c r="B1933" t="s">
        <v>17</v>
      </c>
      <c r="C1933">
        <v>521</v>
      </c>
      <c r="D1933" t="s">
        <v>28</v>
      </c>
    </row>
    <row r="1934" spans="1:4" x14ac:dyDescent="0.3">
      <c r="A1934" s="1">
        <v>44377</v>
      </c>
      <c r="B1934" t="s">
        <v>17</v>
      </c>
      <c r="C1934">
        <v>5200</v>
      </c>
      <c r="D1934" t="s">
        <v>24</v>
      </c>
    </row>
    <row r="1935" spans="1:4" x14ac:dyDescent="0.3">
      <c r="A1935" s="1">
        <v>44377</v>
      </c>
      <c r="B1935" t="s">
        <v>17</v>
      </c>
      <c r="C1935">
        <v>4858</v>
      </c>
      <c r="D1935" t="s">
        <v>25</v>
      </c>
    </row>
    <row r="1936" spans="1:4" x14ac:dyDescent="0.3">
      <c r="A1936" s="1">
        <v>44377</v>
      </c>
      <c r="B1936" t="s">
        <v>17</v>
      </c>
      <c r="C1936">
        <v>3823</v>
      </c>
      <c r="D1936" t="s">
        <v>26</v>
      </c>
    </row>
    <row r="1937" spans="1:4" x14ac:dyDescent="0.3">
      <c r="A1937" s="1">
        <v>44377</v>
      </c>
      <c r="B1937" t="s">
        <v>17</v>
      </c>
      <c r="C1937">
        <v>5903</v>
      </c>
      <c r="D1937" t="s">
        <v>27</v>
      </c>
    </row>
    <row r="1938" spans="1:4" x14ac:dyDescent="0.3">
      <c r="A1938" s="1">
        <v>44469</v>
      </c>
      <c r="B1938" t="s">
        <v>17</v>
      </c>
      <c r="C1938">
        <v>2324</v>
      </c>
      <c r="D1938" t="s">
        <v>18</v>
      </c>
    </row>
    <row r="1939" spans="1:4" x14ac:dyDescent="0.3">
      <c r="A1939" s="1">
        <v>44469</v>
      </c>
      <c r="B1939" t="s">
        <v>17</v>
      </c>
      <c r="C1939">
        <v>1701</v>
      </c>
      <c r="D1939" t="s">
        <v>19</v>
      </c>
    </row>
    <row r="1940" spans="1:4" x14ac:dyDescent="0.3">
      <c r="A1940" s="1">
        <v>44469</v>
      </c>
      <c r="B1940" t="s">
        <v>17</v>
      </c>
      <c r="C1940">
        <v>976</v>
      </c>
      <c r="D1940" t="s">
        <v>20</v>
      </c>
    </row>
    <row r="1941" spans="1:4" x14ac:dyDescent="0.3">
      <c r="A1941" s="1">
        <v>44469</v>
      </c>
      <c r="B1941" t="s">
        <v>17</v>
      </c>
      <c r="C1941">
        <v>6676</v>
      </c>
      <c r="D1941" t="s">
        <v>21</v>
      </c>
    </row>
    <row r="1942" spans="1:4" x14ac:dyDescent="0.3">
      <c r="A1942" s="1">
        <v>44469</v>
      </c>
      <c r="B1942" t="s">
        <v>17</v>
      </c>
      <c r="C1942">
        <v>2749</v>
      </c>
      <c r="D1942" t="s">
        <v>22</v>
      </c>
    </row>
    <row r="1943" spans="1:4" x14ac:dyDescent="0.3">
      <c r="A1943" s="1">
        <v>44469</v>
      </c>
      <c r="B1943" t="s">
        <v>17</v>
      </c>
      <c r="C1943">
        <v>13378</v>
      </c>
      <c r="D1943" t="s">
        <v>23</v>
      </c>
    </row>
    <row r="1944" spans="1:4" x14ac:dyDescent="0.3">
      <c r="A1944" s="1">
        <v>44469</v>
      </c>
      <c r="B1944" t="s">
        <v>17</v>
      </c>
      <c r="C1944">
        <v>582</v>
      </c>
      <c r="D1944" t="s">
        <v>28</v>
      </c>
    </row>
    <row r="1945" spans="1:4" x14ac:dyDescent="0.3">
      <c r="A1945" s="1">
        <v>44469</v>
      </c>
      <c r="B1945" t="s">
        <v>17</v>
      </c>
      <c r="C1945">
        <v>5009</v>
      </c>
      <c r="D1945" t="s">
        <v>24</v>
      </c>
    </row>
    <row r="1946" spans="1:4" x14ac:dyDescent="0.3">
      <c r="A1946" s="1">
        <v>44469</v>
      </c>
      <c r="B1946" t="s">
        <v>17</v>
      </c>
      <c r="C1946">
        <v>4278</v>
      </c>
      <c r="D1946" t="s">
        <v>25</v>
      </c>
    </row>
    <row r="1947" spans="1:4" x14ac:dyDescent="0.3">
      <c r="A1947" s="1">
        <v>44469</v>
      </c>
      <c r="B1947" t="s">
        <v>17</v>
      </c>
      <c r="C1947">
        <v>2893</v>
      </c>
      <c r="D1947" t="s">
        <v>26</v>
      </c>
    </row>
    <row r="1948" spans="1:4" x14ac:dyDescent="0.3">
      <c r="A1948" s="1">
        <v>44469</v>
      </c>
      <c r="B1948" t="s">
        <v>17</v>
      </c>
      <c r="C1948">
        <v>4944</v>
      </c>
      <c r="D1948" t="s">
        <v>27</v>
      </c>
    </row>
    <row r="1949" spans="1:4" x14ac:dyDescent="0.3">
      <c r="A1949" s="1">
        <v>44561</v>
      </c>
      <c r="B1949" t="s">
        <v>17</v>
      </c>
      <c r="C1949">
        <v>2467</v>
      </c>
      <c r="D1949" t="s">
        <v>18</v>
      </c>
    </row>
    <row r="1950" spans="1:4" x14ac:dyDescent="0.3">
      <c r="A1950" s="1">
        <v>44561</v>
      </c>
      <c r="B1950" t="s">
        <v>17</v>
      </c>
      <c r="C1950">
        <v>2083</v>
      </c>
      <c r="D1950" t="s">
        <v>19</v>
      </c>
    </row>
    <row r="1951" spans="1:4" x14ac:dyDescent="0.3">
      <c r="A1951" s="1">
        <v>44561</v>
      </c>
      <c r="B1951" t="s">
        <v>17</v>
      </c>
      <c r="C1951">
        <v>1000</v>
      </c>
      <c r="D1951" t="s">
        <v>20</v>
      </c>
    </row>
    <row r="1952" spans="1:4" x14ac:dyDescent="0.3">
      <c r="A1952" s="1">
        <v>44561</v>
      </c>
      <c r="B1952" t="s">
        <v>17</v>
      </c>
      <c r="C1952">
        <v>6586</v>
      </c>
      <c r="D1952" t="s">
        <v>21</v>
      </c>
    </row>
    <row r="1953" spans="1:4" x14ac:dyDescent="0.3">
      <c r="A1953" s="1">
        <v>44561</v>
      </c>
      <c r="B1953" t="s">
        <v>17</v>
      </c>
      <c r="C1953">
        <v>3213</v>
      </c>
      <c r="D1953" t="s">
        <v>22</v>
      </c>
    </row>
    <row r="1954" spans="1:4" x14ac:dyDescent="0.3">
      <c r="A1954" s="1">
        <v>44561</v>
      </c>
      <c r="B1954" t="s">
        <v>17</v>
      </c>
      <c r="C1954">
        <v>13671</v>
      </c>
      <c r="D1954" t="s">
        <v>23</v>
      </c>
    </row>
    <row r="1955" spans="1:4" x14ac:dyDescent="0.3">
      <c r="A1955" s="1">
        <v>44561</v>
      </c>
      <c r="B1955" t="s">
        <v>17</v>
      </c>
      <c r="C1955">
        <v>650</v>
      </c>
      <c r="D1955" t="s">
        <v>28</v>
      </c>
    </row>
    <row r="1956" spans="1:4" x14ac:dyDescent="0.3">
      <c r="A1956" s="1">
        <v>44561</v>
      </c>
      <c r="B1956" t="s">
        <v>17</v>
      </c>
      <c r="C1956">
        <v>5389</v>
      </c>
      <c r="D1956" t="s">
        <v>24</v>
      </c>
    </row>
    <row r="1957" spans="1:4" x14ac:dyDescent="0.3">
      <c r="A1957" s="1">
        <v>44561</v>
      </c>
      <c r="B1957" t="s">
        <v>17</v>
      </c>
      <c r="C1957">
        <v>4893</v>
      </c>
      <c r="D1957" t="s">
        <v>25</v>
      </c>
    </row>
    <row r="1958" spans="1:4" x14ac:dyDescent="0.3">
      <c r="A1958" s="1">
        <v>44561</v>
      </c>
      <c r="B1958" t="s">
        <v>17</v>
      </c>
      <c r="C1958">
        <v>3260</v>
      </c>
      <c r="D1958" t="s">
        <v>26</v>
      </c>
    </row>
    <row r="1959" spans="1:4" x14ac:dyDescent="0.3">
      <c r="A1959" s="1">
        <v>44561</v>
      </c>
      <c r="B1959" t="s">
        <v>17</v>
      </c>
      <c r="C1959">
        <v>5382</v>
      </c>
      <c r="D1959" t="s">
        <v>27</v>
      </c>
    </row>
    <row r="1960" spans="1:4" x14ac:dyDescent="0.3">
      <c r="A1960" s="1">
        <v>44651</v>
      </c>
      <c r="B1960" t="s">
        <v>17</v>
      </c>
      <c r="C1960">
        <v>2531</v>
      </c>
      <c r="D1960" t="s">
        <v>18</v>
      </c>
    </row>
    <row r="1961" spans="1:4" x14ac:dyDescent="0.3">
      <c r="A1961" s="1">
        <v>44651</v>
      </c>
      <c r="B1961" t="s">
        <v>17</v>
      </c>
      <c r="C1961">
        <v>2127</v>
      </c>
      <c r="D1961" t="s">
        <v>19</v>
      </c>
    </row>
    <row r="1962" spans="1:4" x14ac:dyDescent="0.3">
      <c r="A1962" s="1">
        <v>44651</v>
      </c>
      <c r="B1962" t="s">
        <v>17</v>
      </c>
      <c r="C1962">
        <v>1042</v>
      </c>
      <c r="D1962" t="s">
        <v>20</v>
      </c>
    </row>
    <row r="1963" spans="1:4" x14ac:dyDescent="0.3">
      <c r="A1963" s="1">
        <v>44651</v>
      </c>
      <c r="B1963" t="s">
        <v>17</v>
      </c>
      <c r="C1963">
        <v>6754</v>
      </c>
      <c r="D1963" t="s">
        <v>21</v>
      </c>
    </row>
    <row r="1964" spans="1:4" x14ac:dyDescent="0.3">
      <c r="A1964" s="1">
        <v>44651</v>
      </c>
      <c r="B1964" t="s">
        <v>17</v>
      </c>
      <c r="C1964">
        <v>3312</v>
      </c>
      <c r="D1964" t="s">
        <v>22</v>
      </c>
    </row>
    <row r="1965" spans="1:4" x14ac:dyDescent="0.3">
      <c r="A1965" s="1">
        <v>44651</v>
      </c>
      <c r="B1965" t="s">
        <v>17</v>
      </c>
      <c r="C1965">
        <v>14058</v>
      </c>
      <c r="D1965" t="s">
        <v>23</v>
      </c>
    </row>
    <row r="1966" spans="1:4" x14ac:dyDescent="0.3">
      <c r="A1966" s="1">
        <v>44651</v>
      </c>
      <c r="B1966" t="s">
        <v>17</v>
      </c>
      <c r="C1966">
        <v>601</v>
      </c>
      <c r="D1966" t="s">
        <v>28</v>
      </c>
    </row>
    <row r="1967" spans="1:4" x14ac:dyDescent="0.3">
      <c r="A1967" s="1">
        <v>44651</v>
      </c>
      <c r="B1967" t="s">
        <v>17</v>
      </c>
      <c r="C1967">
        <v>5542</v>
      </c>
      <c r="D1967" t="s">
        <v>24</v>
      </c>
    </row>
    <row r="1968" spans="1:4" x14ac:dyDescent="0.3">
      <c r="A1968" s="1">
        <v>44651</v>
      </c>
      <c r="B1968" t="s">
        <v>17</v>
      </c>
      <c r="C1968">
        <v>5294</v>
      </c>
      <c r="D1968" t="s">
        <v>25</v>
      </c>
    </row>
    <row r="1969" spans="1:4" x14ac:dyDescent="0.3">
      <c r="A1969" s="1">
        <v>44651</v>
      </c>
      <c r="B1969" t="s">
        <v>17</v>
      </c>
      <c r="C1969">
        <v>4130</v>
      </c>
      <c r="D1969" t="s">
        <v>26</v>
      </c>
    </row>
    <row r="1970" spans="1:4" x14ac:dyDescent="0.3">
      <c r="A1970" s="1">
        <v>44651</v>
      </c>
      <c r="B1970" t="s">
        <v>17</v>
      </c>
      <c r="C1970">
        <v>6384</v>
      </c>
      <c r="D1970" t="s">
        <v>27</v>
      </c>
    </row>
    <row r="1971" spans="1:4" x14ac:dyDescent="0.3">
      <c r="A1971" s="1">
        <v>44742</v>
      </c>
      <c r="B1971" t="s">
        <v>17</v>
      </c>
      <c r="C1971">
        <v>2535</v>
      </c>
      <c r="D1971" t="s">
        <v>18</v>
      </c>
    </row>
    <row r="1972" spans="1:4" x14ac:dyDescent="0.3">
      <c r="A1972" s="1">
        <v>44742</v>
      </c>
      <c r="B1972" t="s">
        <v>17</v>
      </c>
      <c r="C1972">
        <v>2134</v>
      </c>
      <c r="D1972" t="s">
        <v>19</v>
      </c>
    </row>
    <row r="1973" spans="1:4" x14ac:dyDescent="0.3">
      <c r="A1973" s="1">
        <v>44742</v>
      </c>
      <c r="B1973" t="s">
        <v>17</v>
      </c>
      <c r="C1973">
        <v>1029</v>
      </c>
      <c r="D1973" t="s">
        <v>20</v>
      </c>
    </row>
    <row r="1974" spans="1:4" x14ac:dyDescent="0.3">
      <c r="A1974" s="1">
        <v>44742</v>
      </c>
      <c r="B1974" t="s">
        <v>17</v>
      </c>
      <c r="C1974">
        <v>6684</v>
      </c>
      <c r="D1974" t="s">
        <v>21</v>
      </c>
    </row>
    <row r="1975" spans="1:4" x14ac:dyDescent="0.3">
      <c r="A1975" s="1">
        <v>44742</v>
      </c>
      <c r="B1975" t="s">
        <v>17</v>
      </c>
      <c r="C1975">
        <v>3196</v>
      </c>
      <c r="D1975" t="s">
        <v>22</v>
      </c>
    </row>
    <row r="1976" spans="1:4" x14ac:dyDescent="0.3">
      <c r="A1976" s="1">
        <v>44742</v>
      </c>
      <c r="B1976" t="s">
        <v>17</v>
      </c>
      <c r="C1976">
        <v>14229</v>
      </c>
      <c r="D1976" t="s">
        <v>23</v>
      </c>
    </row>
    <row r="1977" spans="1:4" x14ac:dyDescent="0.3">
      <c r="A1977" s="1">
        <v>44742</v>
      </c>
      <c r="B1977" t="s">
        <v>17</v>
      </c>
      <c r="C1977">
        <v>592</v>
      </c>
      <c r="D1977" t="s">
        <v>28</v>
      </c>
    </row>
    <row r="1978" spans="1:4" x14ac:dyDescent="0.3">
      <c r="A1978" s="1">
        <v>44742</v>
      </c>
      <c r="B1978" t="s">
        <v>17</v>
      </c>
      <c r="C1978">
        <v>5646</v>
      </c>
      <c r="D1978" t="s">
        <v>24</v>
      </c>
    </row>
    <row r="1979" spans="1:4" x14ac:dyDescent="0.3">
      <c r="A1979" s="1">
        <v>44742</v>
      </c>
      <c r="B1979" t="s">
        <v>17</v>
      </c>
      <c r="C1979">
        <v>5234</v>
      </c>
      <c r="D1979" t="s">
        <v>25</v>
      </c>
    </row>
    <row r="1980" spans="1:4" x14ac:dyDescent="0.3">
      <c r="A1980" s="1">
        <v>44742</v>
      </c>
      <c r="B1980" t="s">
        <v>17</v>
      </c>
      <c r="C1980">
        <v>3917</v>
      </c>
      <c r="D1980" t="s">
        <v>26</v>
      </c>
    </row>
    <row r="1981" spans="1:4" x14ac:dyDescent="0.3">
      <c r="A1981" s="1">
        <v>44742</v>
      </c>
      <c r="B1981" t="s">
        <v>17</v>
      </c>
      <c r="C1981">
        <v>6277</v>
      </c>
      <c r="D1981" t="s">
        <v>27</v>
      </c>
    </row>
    <row r="1982" spans="1:4" x14ac:dyDescent="0.3">
      <c r="A1982" s="1">
        <v>44834</v>
      </c>
      <c r="B1982" t="s">
        <v>17</v>
      </c>
      <c r="C1982">
        <v>2577</v>
      </c>
      <c r="D1982" t="s">
        <v>18</v>
      </c>
    </row>
    <row r="1983" spans="1:4" x14ac:dyDescent="0.3">
      <c r="A1983" s="1">
        <v>44834</v>
      </c>
      <c r="B1983" t="s">
        <v>17</v>
      </c>
      <c r="C1983">
        <v>2162</v>
      </c>
      <c r="D1983" t="s">
        <v>19</v>
      </c>
    </row>
    <row r="1984" spans="1:4" x14ac:dyDescent="0.3">
      <c r="A1984" s="1">
        <v>44834</v>
      </c>
      <c r="B1984" t="s">
        <v>17</v>
      </c>
      <c r="C1984">
        <v>1037</v>
      </c>
      <c r="D1984" t="s">
        <v>20</v>
      </c>
    </row>
    <row r="1985" spans="1:4" x14ac:dyDescent="0.3">
      <c r="A1985" s="1">
        <v>44834</v>
      </c>
      <c r="B1985" t="s">
        <v>17</v>
      </c>
      <c r="C1985">
        <v>6877</v>
      </c>
      <c r="D1985" t="s">
        <v>21</v>
      </c>
    </row>
    <row r="1986" spans="1:4" x14ac:dyDescent="0.3">
      <c r="A1986" s="1">
        <v>44834</v>
      </c>
      <c r="B1986" t="s">
        <v>17</v>
      </c>
      <c r="C1986">
        <v>3185</v>
      </c>
      <c r="D1986" t="s">
        <v>22</v>
      </c>
    </row>
    <row r="1987" spans="1:4" x14ac:dyDescent="0.3">
      <c r="A1987" s="1">
        <v>44834</v>
      </c>
      <c r="B1987" t="s">
        <v>17</v>
      </c>
      <c r="C1987">
        <v>14471</v>
      </c>
      <c r="D1987" t="s">
        <v>23</v>
      </c>
    </row>
    <row r="1988" spans="1:4" x14ac:dyDescent="0.3">
      <c r="A1988" s="1">
        <v>44834</v>
      </c>
      <c r="B1988" t="s">
        <v>17</v>
      </c>
      <c r="C1988">
        <v>573</v>
      </c>
      <c r="D1988" t="s">
        <v>28</v>
      </c>
    </row>
    <row r="1989" spans="1:4" x14ac:dyDescent="0.3">
      <c r="A1989" s="1">
        <v>44834</v>
      </c>
      <c r="B1989" t="s">
        <v>17</v>
      </c>
      <c r="C1989">
        <v>5858</v>
      </c>
      <c r="D1989" t="s">
        <v>24</v>
      </c>
    </row>
    <row r="1990" spans="1:4" x14ac:dyDescent="0.3">
      <c r="A1990" s="1">
        <v>44834</v>
      </c>
      <c r="B1990" t="s">
        <v>17</v>
      </c>
      <c r="C1990">
        <v>5049</v>
      </c>
      <c r="D1990" t="s">
        <v>25</v>
      </c>
    </row>
    <row r="1991" spans="1:4" x14ac:dyDescent="0.3">
      <c r="A1991" s="1">
        <v>44834</v>
      </c>
      <c r="B1991" t="s">
        <v>17</v>
      </c>
      <c r="C1991">
        <v>3949</v>
      </c>
      <c r="D1991" t="s">
        <v>26</v>
      </c>
    </row>
    <row r="1992" spans="1:4" x14ac:dyDescent="0.3">
      <c r="A1992" s="1">
        <v>44834</v>
      </c>
      <c r="B1992" t="s">
        <v>17</v>
      </c>
      <c r="C1992">
        <v>7141</v>
      </c>
      <c r="D1992" t="s">
        <v>27</v>
      </c>
    </row>
    <row r="1993" spans="1:4" x14ac:dyDescent="0.3">
      <c r="A1993" s="1">
        <v>44926</v>
      </c>
      <c r="B1993" t="s">
        <v>17</v>
      </c>
      <c r="C1993">
        <v>2682</v>
      </c>
      <c r="D1993" t="s">
        <v>18</v>
      </c>
    </row>
    <row r="1994" spans="1:4" x14ac:dyDescent="0.3">
      <c r="A1994" s="1">
        <v>44926</v>
      </c>
      <c r="B1994" t="s">
        <v>17</v>
      </c>
      <c r="C1994">
        <v>2188</v>
      </c>
      <c r="D1994" t="s">
        <v>19</v>
      </c>
    </row>
    <row r="1995" spans="1:4" x14ac:dyDescent="0.3">
      <c r="A1995" s="1">
        <v>44926</v>
      </c>
      <c r="B1995" t="s">
        <v>17</v>
      </c>
      <c r="C1995">
        <v>1030</v>
      </c>
      <c r="D1995" t="s">
        <v>20</v>
      </c>
    </row>
    <row r="1996" spans="1:4" x14ac:dyDescent="0.3">
      <c r="A1996" s="1">
        <v>44926</v>
      </c>
      <c r="B1996" t="s">
        <v>17</v>
      </c>
      <c r="C1996">
        <v>7170</v>
      </c>
      <c r="D1996" t="s">
        <v>21</v>
      </c>
    </row>
    <row r="1997" spans="1:4" x14ac:dyDescent="0.3">
      <c r="A1997" s="1">
        <v>44926</v>
      </c>
      <c r="B1997" t="s">
        <v>17</v>
      </c>
      <c r="C1997">
        <v>3142</v>
      </c>
      <c r="D1997" t="s">
        <v>22</v>
      </c>
    </row>
    <row r="1998" spans="1:4" x14ac:dyDescent="0.3">
      <c r="A1998" s="1">
        <v>44926</v>
      </c>
      <c r="B1998" t="s">
        <v>17</v>
      </c>
      <c r="C1998">
        <v>14765</v>
      </c>
      <c r="D1998" t="s">
        <v>23</v>
      </c>
    </row>
    <row r="1999" spans="1:4" x14ac:dyDescent="0.3">
      <c r="A1999" s="1">
        <v>44926</v>
      </c>
      <c r="B1999" t="s">
        <v>17</v>
      </c>
      <c r="C1999">
        <v>586</v>
      </c>
      <c r="D1999" t="s">
        <v>28</v>
      </c>
    </row>
    <row r="2000" spans="1:4" x14ac:dyDescent="0.3">
      <c r="A2000" s="1">
        <v>44926</v>
      </c>
      <c r="B2000" t="s">
        <v>17</v>
      </c>
      <c r="C2000">
        <v>5962</v>
      </c>
      <c r="D2000" t="s">
        <v>24</v>
      </c>
    </row>
    <row r="2001" spans="1:4" x14ac:dyDescent="0.3">
      <c r="A2001" s="1">
        <v>44926</v>
      </c>
      <c r="B2001" t="s">
        <v>17</v>
      </c>
      <c r="C2001">
        <v>5251</v>
      </c>
      <c r="D2001" t="s">
        <v>25</v>
      </c>
    </row>
    <row r="2002" spans="1:4" x14ac:dyDescent="0.3">
      <c r="A2002" s="1">
        <v>44926</v>
      </c>
      <c r="B2002" t="s">
        <v>17</v>
      </c>
      <c r="C2002">
        <v>3981</v>
      </c>
      <c r="D2002" t="s">
        <v>26</v>
      </c>
    </row>
    <row r="2003" spans="1:4" x14ac:dyDescent="0.3">
      <c r="A2003" s="1">
        <v>44926</v>
      </c>
      <c r="B2003" t="s">
        <v>17</v>
      </c>
      <c r="C2003">
        <v>7358</v>
      </c>
      <c r="D2003" t="s">
        <v>27</v>
      </c>
    </row>
    <row r="2004" spans="1:4" x14ac:dyDescent="0.3">
      <c r="A2004" s="1">
        <v>45016</v>
      </c>
      <c r="B2004" t="s">
        <v>17</v>
      </c>
      <c r="C2004">
        <v>2562</v>
      </c>
      <c r="D2004" t="s">
        <v>18</v>
      </c>
    </row>
    <row r="2005" spans="1:4" x14ac:dyDescent="0.3">
      <c r="A2005" s="1">
        <v>45016</v>
      </c>
      <c r="B2005" t="s">
        <v>17</v>
      </c>
      <c r="C2005">
        <v>2195</v>
      </c>
      <c r="D2005" t="s">
        <v>19</v>
      </c>
    </row>
    <row r="2006" spans="1:4" x14ac:dyDescent="0.3">
      <c r="A2006" s="1">
        <v>45016</v>
      </c>
      <c r="B2006" t="s">
        <v>17</v>
      </c>
      <c r="C2006">
        <v>1019</v>
      </c>
      <c r="D2006" t="s">
        <v>20</v>
      </c>
    </row>
    <row r="2007" spans="1:4" x14ac:dyDescent="0.3">
      <c r="A2007" s="1">
        <v>45016</v>
      </c>
      <c r="B2007" t="s">
        <v>17</v>
      </c>
      <c r="C2007">
        <v>7276</v>
      </c>
      <c r="D2007" t="s">
        <v>21</v>
      </c>
    </row>
    <row r="2008" spans="1:4" x14ac:dyDescent="0.3">
      <c r="A2008" s="1">
        <v>45016</v>
      </c>
      <c r="B2008" t="s">
        <v>17</v>
      </c>
      <c r="C2008">
        <v>3210</v>
      </c>
      <c r="D2008" t="s">
        <v>22</v>
      </c>
    </row>
    <row r="2009" spans="1:4" x14ac:dyDescent="0.3">
      <c r="A2009" s="1">
        <v>45016</v>
      </c>
      <c r="B2009" t="s">
        <v>17</v>
      </c>
      <c r="C2009">
        <v>15066</v>
      </c>
      <c r="D2009" t="s">
        <v>23</v>
      </c>
    </row>
    <row r="2010" spans="1:4" x14ac:dyDescent="0.3">
      <c r="A2010" s="1">
        <v>45016</v>
      </c>
      <c r="B2010" t="s">
        <v>17</v>
      </c>
      <c r="C2010">
        <v>600</v>
      </c>
      <c r="D2010" t="s">
        <v>28</v>
      </c>
    </row>
    <row r="2011" spans="1:4" x14ac:dyDescent="0.3">
      <c r="A2011" s="1">
        <v>45016</v>
      </c>
      <c r="B2011" t="s">
        <v>17</v>
      </c>
      <c r="C2011">
        <v>6132</v>
      </c>
      <c r="D2011" t="s">
        <v>24</v>
      </c>
    </row>
    <row r="2012" spans="1:4" x14ac:dyDescent="0.3">
      <c r="A2012" s="1">
        <v>45016</v>
      </c>
      <c r="B2012" t="s">
        <v>17</v>
      </c>
      <c r="C2012">
        <v>5440</v>
      </c>
      <c r="D2012" t="s">
        <v>25</v>
      </c>
    </row>
    <row r="2013" spans="1:4" x14ac:dyDescent="0.3">
      <c r="A2013" s="1">
        <v>45016</v>
      </c>
      <c r="B2013" t="s">
        <v>17</v>
      </c>
      <c r="C2013">
        <v>4081</v>
      </c>
      <c r="D2013" t="s">
        <v>26</v>
      </c>
    </row>
    <row r="2014" spans="1:4" x14ac:dyDescent="0.3">
      <c r="A2014" s="1">
        <v>45016</v>
      </c>
      <c r="B2014" t="s">
        <v>17</v>
      </c>
      <c r="C2014">
        <v>7573</v>
      </c>
      <c r="D2014" t="s">
        <v>27</v>
      </c>
    </row>
    <row r="2015" spans="1:4" x14ac:dyDescent="0.3">
      <c r="A2015" s="1">
        <v>45107</v>
      </c>
      <c r="B2015" t="s">
        <v>17</v>
      </c>
      <c r="C2015">
        <v>2579</v>
      </c>
      <c r="D2015" t="s">
        <v>18</v>
      </c>
    </row>
    <row r="2016" spans="1:4" x14ac:dyDescent="0.3">
      <c r="A2016" s="1">
        <v>45107</v>
      </c>
      <c r="B2016" t="s">
        <v>17</v>
      </c>
      <c r="C2016">
        <v>2110</v>
      </c>
      <c r="D2016" t="s">
        <v>19</v>
      </c>
    </row>
    <row r="2017" spans="1:4" x14ac:dyDescent="0.3">
      <c r="A2017" s="1">
        <v>45107</v>
      </c>
      <c r="B2017" t="s">
        <v>17</v>
      </c>
      <c r="C2017">
        <v>1008</v>
      </c>
      <c r="D2017" t="s">
        <v>20</v>
      </c>
    </row>
    <row r="2018" spans="1:4" x14ac:dyDescent="0.3">
      <c r="A2018" s="1">
        <v>45107</v>
      </c>
      <c r="B2018" t="s">
        <v>17</v>
      </c>
      <c r="C2018">
        <v>7373</v>
      </c>
      <c r="D2018" t="s">
        <v>21</v>
      </c>
    </row>
    <row r="2019" spans="1:4" x14ac:dyDescent="0.3">
      <c r="A2019" s="1">
        <v>45107</v>
      </c>
      <c r="B2019" t="s">
        <v>17</v>
      </c>
      <c r="C2019">
        <v>3189</v>
      </c>
      <c r="D2019" t="s">
        <v>22</v>
      </c>
    </row>
    <row r="2020" spans="1:4" x14ac:dyDescent="0.3">
      <c r="A2020" s="1">
        <v>45107</v>
      </c>
      <c r="B2020" t="s">
        <v>17</v>
      </c>
      <c r="C2020">
        <v>15369</v>
      </c>
      <c r="D2020" t="s">
        <v>23</v>
      </c>
    </row>
    <row r="2021" spans="1:4" x14ac:dyDescent="0.3">
      <c r="A2021" s="1">
        <v>45107</v>
      </c>
      <c r="B2021" t="s">
        <v>17</v>
      </c>
      <c r="C2021">
        <v>644</v>
      </c>
      <c r="D2021" t="s">
        <v>28</v>
      </c>
    </row>
    <row r="2022" spans="1:4" x14ac:dyDescent="0.3">
      <c r="A2022" s="1">
        <v>45107</v>
      </c>
      <c r="B2022" t="s">
        <v>17</v>
      </c>
      <c r="C2022">
        <v>6292</v>
      </c>
      <c r="D2022" t="s">
        <v>24</v>
      </c>
    </row>
    <row r="2023" spans="1:4" x14ac:dyDescent="0.3">
      <c r="A2023" s="1">
        <v>45107</v>
      </c>
      <c r="B2023" t="s">
        <v>17</v>
      </c>
      <c r="C2023">
        <v>5440</v>
      </c>
      <c r="D2023" t="s">
        <v>25</v>
      </c>
    </row>
    <row r="2024" spans="1:4" x14ac:dyDescent="0.3">
      <c r="A2024" s="1">
        <v>45107</v>
      </c>
      <c r="B2024" t="s">
        <v>17</v>
      </c>
      <c r="C2024">
        <v>3960</v>
      </c>
      <c r="D2024" t="s">
        <v>26</v>
      </c>
    </row>
    <row r="2025" spans="1:4" x14ac:dyDescent="0.3">
      <c r="A2025" s="1">
        <v>45107</v>
      </c>
      <c r="B2025" t="s">
        <v>17</v>
      </c>
      <c r="C2025">
        <v>8089</v>
      </c>
      <c r="D2025" t="s">
        <v>27</v>
      </c>
    </row>
    <row r="2026" spans="1:4" x14ac:dyDescent="0.3">
      <c r="A2026" s="1">
        <v>45199</v>
      </c>
      <c r="B2026" t="s">
        <v>17</v>
      </c>
      <c r="C2026">
        <v>2606</v>
      </c>
      <c r="D2026" t="s">
        <v>18</v>
      </c>
    </row>
    <row r="2027" spans="1:4" x14ac:dyDescent="0.3">
      <c r="A2027" s="1">
        <v>45199</v>
      </c>
      <c r="B2027" t="s">
        <v>17</v>
      </c>
      <c r="C2027">
        <v>2139</v>
      </c>
      <c r="D2027" t="s">
        <v>19</v>
      </c>
    </row>
    <row r="2028" spans="1:4" x14ac:dyDescent="0.3">
      <c r="A2028" s="1">
        <v>45199</v>
      </c>
      <c r="B2028" t="s">
        <v>17</v>
      </c>
      <c r="C2028">
        <v>1014</v>
      </c>
      <c r="D2028" t="s">
        <v>20</v>
      </c>
    </row>
    <row r="2029" spans="1:4" x14ac:dyDescent="0.3">
      <c r="A2029" s="1">
        <v>45199</v>
      </c>
      <c r="B2029" t="s">
        <v>17</v>
      </c>
      <c r="C2029">
        <v>7469</v>
      </c>
      <c r="D2029" t="s">
        <v>21</v>
      </c>
    </row>
    <row r="2030" spans="1:4" x14ac:dyDescent="0.3">
      <c r="A2030" s="1">
        <v>45199</v>
      </c>
      <c r="B2030" t="s">
        <v>17</v>
      </c>
      <c r="C2030">
        <v>3144</v>
      </c>
      <c r="D2030" t="s">
        <v>22</v>
      </c>
    </row>
    <row r="2031" spans="1:4" x14ac:dyDescent="0.3">
      <c r="A2031" s="1">
        <v>45199</v>
      </c>
      <c r="B2031" t="s">
        <v>17</v>
      </c>
      <c r="C2031">
        <v>15671</v>
      </c>
      <c r="D2031" t="s">
        <v>23</v>
      </c>
    </row>
    <row r="2032" spans="1:4" x14ac:dyDescent="0.3">
      <c r="A2032" s="1">
        <v>45199</v>
      </c>
      <c r="B2032" t="s">
        <v>17</v>
      </c>
      <c r="C2032">
        <v>662</v>
      </c>
      <c r="D2032" t="s">
        <v>28</v>
      </c>
    </row>
    <row r="2033" spans="1:4" x14ac:dyDescent="0.3">
      <c r="A2033" s="1">
        <v>45199</v>
      </c>
      <c r="B2033" t="s">
        <v>17</v>
      </c>
      <c r="C2033">
        <v>6416</v>
      </c>
      <c r="D2033" t="s">
        <v>24</v>
      </c>
    </row>
    <row r="2034" spans="1:4" x14ac:dyDescent="0.3">
      <c r="A2034" s="1">
        <v>45199</v>
      </c>
      <c r="B2034" t="s">
        <v>17</v>
      </c>
      <c r="C2034">
        <v>5317</v>
      </c>
      <c r="D2034" t="s">
        <v>25</v>
      </c>
    </row>
    <row r="2035" spans="1:4" x14ac:dyDescent="0.3">
      <c r="A2035" s="1">
        <v>45199</v>
      </c>
      <c r="B2035" t="s">
        <v>17</v>
      </c>
      <c r="C2035">
        <v>3926</v>
      </c>
      <c r="D2035" t="s">
        <v>26</v>
      </c>
    </row>
    <row r="2036" spans="1:4" x14ac:dyDescent="0.3">
      <c r="A2036" s="1">
        <v>45199</v>
      </c>
      <c r="B2036" t="s">
        <v>17</v>
      </c>
      <c r="C2036">
        <v>7661</v>
      </c>
      <c r="D2036" t="s">
        <v>27</v>
      </c>
    </row>
    <row r="2037" spans="1:4" x14ac:dyDescent="0.3">
      <c r="A2037" s="1">
        <v>45291</v>
      </c>
      <c r="B2037" t="s">
        <v>17</v>
      </c>
      <c r="C2037">
        <v>2617</v>
      </c>
      <c r="D2037" t="s">
        <v>18</v>
      </c>
    </row>
    <row r="2038" spans="1:4" x14ac:dyDescent="0.3">
      <c r="A2038" s="1">
        <v>45291</v>
      </c>
      <c r="B2038" t="s">
        <v>17</v>
      </c>
      <c r="C2038">
        <v>2078</v>
      </c>
      <c r="D2038" t="s">
        <v>19</v>
      </c>
    </row>
    <row r="2039" spans="1:4" x14ac:dyDescent="0.3">
      <c r="A2039" s="1">
        <v>45291</v>
      </c>
      <c r="B2039" t="s">
        <v>17</v>
      </c>
      <c r="C2039">
        <v>1012</v>
      </c>
      <c r="D2039" t="s">
        <v>20</v>
      </c>
    </row>
    <row r="2040" spans="1:4" x14ac:dyDescent="0.3">
      <c r="A2040" s="1">
        <v>45291</v>
      </c>
      <c r="B2040" t="s">
        <v>17</v>
      </c>
      <c r="C2040">
        <v>7509</v>
      </c>
      <c r="D2040" t="s">
        <v>21</v>
      </c>
    </row>
    <row r="2041" spans="1:4" x14ac:dyDescent="0.3">
      <c r="A2041" s="1">
        <v>45291</v>
      </c>
      <c r="B2041" t="s">
        <v>17</v>
      </c>
      <c r="C2041">
        <v>3094</v>
      </c>
      <c r="D2041" t="s">
        <v>22</v>
      </c>
    </row>
    <row r="2042" spans="1:4" x14ac:dyDescent="0.3">
      <c r="A2042" s="1">
        <v>45291</v>
      </c>
      <c r="B2042" t="s">
        <v>17</v>
      </c>
      <c r="C2042">
        <v>15948</v>
      </c>
      <c r="D2042" t="s">
        <v>23</v>
      </c>
    </row>
    <row r="2043" spans="1:4" x14ac:dyDescent="0.3">
      <c r="A2043" s="1">
        <v>45291</v>
      </c>
      <c r="B2043" t="s">
        <v>17</v>
      </c>
      <c r="C2043">
        <v>691</v>
      </c>
      <c r="D2043" t="s">
        <v>28</v>
      </c>
    </row>
    <row r="2044" spans="1:4" x14ac:dyDescent="0.3">
      <c r="A2044" s="1">
        <v>45291</v>
      </c>
      <c r="B2044" t="s">
        <v>17</v>
      </c>
      <c r="C2044">
        <v>6483</v>
      </c>
      <c r="D2044" t="s">
        <v>24</v>
      </c>
    </row>
    <row r="2045" spans="1:4" x14ac:dyDescent="0.3">
      <c r="A2045" s="1">
        <v>45291</v>
      </c>
      <c r="B2045" t="s">
        <v>17</v>
      </c>
      <c r="C2045">
        <v>5245</v>
      </c>
      <c r="D2045" t="s">
        <v>25</v>
      </c>
    </row>
    <row r="2046" spans="1:4" x14ac:dyDescent="0.3">
      <c r="A2046" s="1">
        <v>45291</v>
      </c>
      <c r="B2046" t="s">
        <v>17</v>
      </c>
      <c r="C2046">
        <v>3934</v>
      </c>
      <c r="D2046" t="s">
        <v>26</v>
      </c>
    </row>
    <row r="2047" spans="1:4" x14ac:dyDescent="0.3">
      <c r="A2047" s="1">
        <v>45291</v>
      </c>
      <c r="B2047" t="s">
        <v>17</v>
      </c>
      <c r="C2047">
        <v>7837</v>
      </c>
      <c r="D2047" t="s">
        <v>27</v>
      </c>
    </row>
    <row r="2048" spans="1:4" x14ac:dyDescent="0.3">
      <c r="A2048" s="1">
        <v>45382</v>
      </c>
      <c r="B2048" t="s">
        <v>17</v>
      </c>
      <c r="C2048">
        <v>2643</v>
      </c>
      <c r="D2048" t="s">
        <v>18</v>
      </c>
    </row>
    <row r="2049" spans="1:4" x14ac:dyDescent="0.3">
      <c r="A2049" s="1">
        <v>45382</v>
      </c>
      <c r="B2049" t="s">
        <v>17</v>
      </c>
      <c r="C2049">
        <v>2014</v>
      </c>
      <c r="D2049" t="s">
        <v>19</v>
      </c>
    </row>
    <row r="2050" spans="1:4" x14ac:dyDescent="0.3">
      <c r="A2050" s="1">
        <v>45382</v>
      </c>
      <c r="B2050" t="s">
        <v>17</v>
      </c>
      <c r="C2050">
        <v>980</v>
      </c>
      <c r="D2050" t="s">
        <v>20</v>
      </c>
    </row>
    <row r="2051" spans="1:4" x14ac:dyDescent="0.3">
      <c r="A2051" s="1">
        <v>45382</v>
      </c>
      <c r="B2051" t="s">
        <v>17</v>
      </c>
      <c r="C2051">
        <v>7533</v>
      </c>
      <c r="D2051" t="s">
        <v>21</v>
      </c>
    </row>
    <row r="2052" spans="1:4" x14ac:dyDescent="0.3">
      <c r="A2052" s="1">
        <v>45382</v>
      </c>
      <c r="B2052" t="s">
        <v>17</v>
      </c>
      <c r="C2052">
        <v>3075</v>
      </c>
      <c r="D2052" t="s">
        <v>22</v>
      </c>
    </row>
    <row r="2053" spans="1:4" x14ac:dyDescent="0.3">
      <c r="A2053" s="1">
        <v>45382</v>
      </c>
      <c r="B2053" t="s">
        <v>17</v>
      </c>
      <c r="C2053">
        <v>16210</v>
      </c>
      <c r="D2053" t="s">
        <v>23</v>
      </c>
    </row>
    <row r="2054" spans="1:4" x14ac:dyDescent="0.3">
      <c r="A2054" s="1">
        <v>45382</v>
      </c>
      <c r="B2054" t="s">
        <v>17</v>
      </c>
      <c r="C2054">
        <v>721</v>
      </c>
      <c r="D2054" t="s">
        <v>28</v>
      </c>
    </row>
    <row r="2055" spans="1:4" x14ac:dyDescent="0.3">
      <c r="A2055" s="1">
        <v>45382</v>
      </c>
      <c r="B2055" t="s">
        <v>17</v>
      </c>
      <c r="C2055">
        <v>6542</v>
      </c>
      <c r="D2055" t="s">
        <v>24</v>
      </c>
    </row>
    <row r="2056" spans="1:4" x14ac:dyDescent="0.3">
      <c r="A2056" s="1">
        <v>45382</v>
      </c>
      <c r="B2056" t="s">
        <v>17</v>
      </c>
      <c r="C2056">
        <v>5277</v>
      </c>
      <c r="D2056" t="s">
        <v>25</v>
      </c>
    </row>
    <row r="2057" spans="1:4" x14ac:dyDescent="0.3">
      <c r="A2057" s="1">
        <v>45382</v>
      </c>
      <c r="B2057" t="s">
        <v>17</v>
      </c>
      <c r="C2057">
        <v>4096</v>
      </c>
      <c r="D2057" t="s">
        <v>26</v>
      </c>
    </row>
    <row r="2058" spans="1:4" x14ac:dyDescent="0.3">
      <c r="A2058" s="1">
        <v>45382</v>
      </c>
      <c r="B2058" t="s">
        <v>17</v>
      </c>
      <c r="C2058">
        <v>7583</v>
      </c>
      <c r="D2058" t="s">
        <v>27</v>
      </c>
    </row>
    <row r="2059" spans="1:4" x14ac:dyDescent="0.3">
      <c r="A2059" s="1">
        <v>45473</v>
      </c>
      <c r="B2059" t="s">
        <v>17</v>
      </c>
      <c r="C2059">
        <v>2654</v>
      </c>
      <c r="D2059" t="s">
        <v>18</v>
      </c>
    </row>
    <row r="2060" spans="1:4" x14ac:dyDescent="0.3">
      <c r="A2060" s="1">
        <v>45473</v>
      </c>
      <c r="B2060" t="s">
        <v>17</v>
      </c>
      <c r="C2060">
        <v>2038</v>
      </c>
      <c r="D2060" t="s">
        <v>19</v>
      </c>
    </row>
    <row r="2061" spans="1:4" x14ac:dyDescent="0.3">
      <c r="A2061" s="1">
        <v>45473</v>
      </c>
      <c r="B2061" t="s">
        <v>17</v>
      </c>
      <c r="C2061">
        <v>1000</v>
      </c>
      <c r="D2061" t="s">
        <v>20</v>
      </c>
    </row>
    <row r="2062" spans="1:4" x14ac:dyDescent="0.3">
      <c r="A2062" s="1">
        <v>45473</v>
      </c>
      <c r="B2062" t="s">
        <v>17</v>
      </c>
      <c r="C2062">
        <v>7631</v>
      </c>
      <c r="D2062" t="s">
        <v>21</v>
      </c>
    </row>
    <row r="2063" spans="1:4" x14ac:dyDescent="0.3">
      <c r="A2063" s="1">
        <v>45473</v>
      </c>
      <c r="B2063" t="s">
        <v>17</v>
      </c>
      <c r="C2063">
        <v>3074</v>
      </c>
      <c r="D2063" t="s">
        <v>22</v>
      </c>
    </row>
    <row r="2064" spans="1:4" x14ac:dyDescent="0.3">
      <c r="A2064" s="1">
        <v>45473</v>
      </c>
      <c r="B2064" t="s">
        <v>17</v>
      </c>
      <c r="C2064">
        <v>16504</v>
      </c>
      <c r="D2064" t="s">
        <v>23</v>
      </c>
    </row>
    <row r="2065" spans="1:4" x14ac:dyDescent="0.3">
      <c r="A2065" s="1">
        <v>45473</v>
      </c>
      <c r="B2065" t="s">
        <v>17</v>
      </c>
      <c r="C2065">
        <v>723</v>
      </c>
      <c r="D2065" t="s">
        <v>28</v>
      </c>
    </row>
    <row r="2066" spans="1:4" x14ac:dyDescent="0.3">
      <c r="A2066" s="1">
        <v>45473</v>
      </c>
      <c r="B2066" t="s">
        <v>17</v>
      </c>
      <c r="C2066">
        <v>6630</v>
      </c>
      <c r="D2066" t="s">
        <v>24</v>
      </c>
    </row>
    <row r="2067" spans="1:4" x14ac:dyDescent="0.3">
      <c r="A2067" s="1">
        <v>45473</v>
      </c>
      <c r="B2067" t="s">
        <v>17</v>
      </c>
      <c r="C2067">
        <v>5460</v>
      </c>
      <c r="D2067" t="s">
        <v>25</v>
      </c>
    </row>
    <row r="2068" spans="1:4" x14ac:dyDescent="0.3">
      <c r="A2068" s="1">
        <v>45473</v>
      </c>
      <c r="B2068" t="s">
        <v>17</v>
      </c>
      <c r="C2068">
        <v>3834</v>
      </c>
      <c r="D2068" t="s">
        <v>26</v>
      </c>
    </row>
    <row r="2069" spans="1:4" x14ac:dyDescent="0.3">
      <c r="A2069" s="1">
        <v>45473</v>
      </c>
      <c r="B2069" t="s">
        <v>17</v>
      </c>
      <c r="C2069">
        <v>7377</v>
      </c>
      <c r="D2069" t="s">
        <v>27</v>
      </c>
    </row>
    <row r="2070" spans="1:4" x14ac:dyDescent="0.3">
      <c r="A2070" s="1">
        <v>45565</v>
      </c>
      <c r="B2070" t="s">
        <v>17</v>
      </c>
      <c r="C2070">
        <v>2652</v>
      </c>
      <c r="D2070" t="s">
        <v>18</v>
      </c>
    </row>
    <row r="2071" spans="1:4" x14ac:dyDescent="0.3">
      <c r="A2071" s="1">
        <v>45565</v>
      </c>
      <c r="B2071" t="s">
        <v>17</v>
      </c>
      <c r="C2071">
        <v>2035</v>
      </c>
      <c r="D2071" t="s">
        <v>19</v>
      </c>
    </row>
    <row r="2072" spans="1:4" x14ac:dyDescent="0.3">
      <c r="A2072" s="1">
        <v>45565</v>
      </c>
      <c r="B2072" t="s">
        <v>17</v>
      </c>
      <c r="C2072">
        <v>1008</v>
      </c>
      <c r="D2072" t="s">
        <v>20</v>
      </c>
    </row>
    <row r="2073" spans="1:4" x14ac:dyDescent="0.3">
      <c r="A2073" s="1">
        <v>45565</v>
      </c>
      <c r="B2073" t="s">
        <v>17</v>
      </c>
      <c r="C2073">
        <v>7602</v>
      </c>
      <c r="D2073" t="s">
        <v>21</v>
      </c>
    </row>
    <row r="2074" spans="1:4" x14ac:dyDescent="0.3">
      <c r="A2074" s="1">
        <v>45565</v>
      </c>
      <c r="B2074" t="s">
        <v>17</v>
      </c>
      <c r="C2074">
        <v>3089</v>
      </c>
      <c r="D2074" t="s">
        <v>22</v>
      </c>
    </row>
    <row r="2075" spans="1:4" x14ac:dyDescent="0.3">
      <c r="A2075" s="1">
        <v>45565</v>
      </c>
      <c r="B2075" t="s">
        <v>17</v>
      </c>
      <c r="C2075">
        <v>16734</v>
      </c>
      <c r="D2075" t="s">
        <v>23</v>
      </c>
    </row>
    <row r="2076" spans="1:4" x14ac:dyDescent="0.3">
      <c r="A2076" s="1">
        <v>45565</v>
      </c>
      <c r="B2076" t="s">
        <v>17</v>
      </c>
      <c r="C2076">
        <v>712</v>
      </c>
      <c r="D2076" t="s">
        <v>28</v>
      </c>
    </row>
    <row r="2077" spans="1:4" x14ac:dyDescent="0.3">
      <c r="A2077" s="1">
        <v>45565</v>
      </c>
      <c r="B2077" t="s">
        <v>17</v>
      </c>
      <c r="C2077">
        <v>6709</v>
      </c>
      <c r="D2077" t="s">
        <v>24</v>
      </c>
    </row>
    <row r="2078" spans="1:4" x14ac:dyDescent="0.3">
      <c r="A2078" s="1">
        <v>45565</v>
      </c>
      <c r="B2078" t="s">
        <v>17</v>
      </c>
      <c r="C2078">
        <v>5464</v>
      </c>
      <c r="D2078" t="s">
        <v>25</v>
      </c>
    </row>
    <row r="2079" spans="1:4" x14ac:dyDescent="0.3">
      <c r="A2079" s="1">
        <v>45565</v>
      </c>
      <c r="B2079" t="s">
        <v>17</v>
      </c>
      <c r="C2079">
        <v>3775</v>
      </c>
      <c r="D2079" t="s">
        <v>26</v>
      </c>
    </row>
    <row r="2080" spans="1:4" x14ac:dyDescent="0.3">
      <c r="A2080" s="1">
        <v>45565</v>
      </c>
      <c r="B2080" t="s">
        <v>17</v>
      </c>
      <c r="C2080">
        <v>7378</v>
      </c>
      <c r="D2080" t="s">
        <v>27</v>
      </c>
    </row>
    <row r="2081" spans="1:4" x14ac:dyDescent="0.3">
      <c r="A2081" s="1">
        <v>45657</v>
      </c>
      <c r="B2081" t="s">
        <v>17</v>
      </c>
      <c r="C2081">
        <v>2658</v>
      </c>
      <c r="D2081" t="s">
        <v>18</v>
      </c>
    </row>
    <row r="2082" spans="1:4" x14ac:dyDescent="0.3">
      <c r="A2082" s="1">
        <v>45657</v>
      </c>
      <c r="B2082" t="s">
        <v>17</v>
      </c>
      <c r="C2082">
        <v>2047</v>
      </c>
      <c r="D2082" t="s">
        <v>19</v>
      </c>
    </row>
    <row r="2083" spans="1:4" x14ac:dyDescent="0.3">
      <c r="A2083" s="1">
        <v>45657</v>
      </c>
      <c r="B2083" t="s">
        <v>17</v>
      </c>
      <c r="C2083">
        <v>988</v>
      </c>
      <c r="D2083" t="s">
        <v>20</v>
      </c>
    </row>
    <row r="2084" spans="1:4" x14ac:dyDescent="0.3">
      <c r="A2084" s="1">
        <v>45657</v>
      </c>
      <c r="B2084" t="s">
        <v>17</v>
      </c>
      <c r="C2084">
        <v>7623</v>
      </c>
      <c r="D2084" t="s">
        <v>21</v>
      </c>
    </row>
    <row r="2085" spans="1:4" x14ac:dyDescent="0.3">
      <c r="A2085" s="1">
        <v>45657</v>
      </c>
      <c r="B2085" t="s">
        <v>17</v>
      </c>
      <c r="C2085">
        <v>3126</v>
      </c>
      <c r="D2085" t="s">
        <v>22</v>
      </c>
    </row>
    <row r="2086" spans="1:4" x14ac:dyDescent="0.3">
      <c r="A2086" s="1">
        <v>45657</v>
      </c>
      <c r="B2086" t="s">
        <v>17</v>
      </c>
      <c r="C2086">
        <v>16918</v>
      </c>
      <c r="D2086" t="s">
        <v>23</v>
      </c>
    </row>
    <row r="2087" spans="1:4" x14ac:dyDescent="0.3">
      <c r="A2087" s="1">
        <v>45657</v>
      </c>
      <c r="B2087" t="s">
        <v>17</v>
      </c>
      <c r="C2087">
        <v>726</v>
      </c>
      <c r="D2087" t="s">
        <v>28</v>
      </c>
    </row>
    <row r="2088" spans="1:4" x14ac:dyDescent="0.3">
      <c r="A2088" s="1">
        <v>45657</v>
      </c>
      <c r="B2088" t="s">
        <v>17</v>
      </c>
      <c r="C2088">
        <v>6757</v>
      </c>
      <c r="D2088" t="s">
        <v>24</v>
      </c>
    </row>
    <row r="2089" spans="1:4" x14ac:dyDescent="0.3">
      <c r="A2089" s="1">
        <v>45657</v>
      </c>
      <c r="B2089" t="s">
        <v>17</v>
      </c>
      <c r="C2089">
        <v>5517</v>
      </c>
      <c r="D2089" t="s">
        <v>25</v>
      </c>
    </row>
    <row r="2090" spans="1:4" x14ac:dyDescent="0.3">
      <c r="A2090" s="1">
        <v>45657</v>
      </c>
      <c r="B2090" t="s">
        <v>17</v>
      </c>
      <c r="C2090">
        <v>3906</v>
      </c>
      <c r="D2090" t="s">
        <v>26</v>
      </c>
    </row>
    <row r="2091" spans="1:4" x14ac:dyDescent="0.3">
      <c r="A2091" s="1">
        <v>45657</v>
      </c>
      <c r="B2091" t="s">
        <v>17</v>
      </c>
      <c r="C2091">
        <v>7334</v>
      </c>
      <c r="D2091" t="s">
        <v>27</v>
      </c>
    </row>
    <row r="2092" spans="1:4" x14ac:dyDescent="0.3">
      <c r="A2092" s="1">
        <v>45747</v>
      </c>
      <c r="B2092" t="s">
        <v>17</v>
      </c>
      <c r="C2092">
        <v>2638</v>
      </c>
      <c r="D2092" t="s">
        <v>18</v>
      </c>
    </row>
    <row r="2093" spans="1:4" x14ac:dyDescent="0.3">
      <c r="A2093" s="1">
        <v>45747</v>
      </c>
      <c r="B2093" t="s">
        <v>17</v>
      </c>
      <c r="C2093">
        <v>2072</v>
      </c>
      <c r="D2093" t="s">
        <v>19</v>
      </c>
    </row>
    <row r="2094" spans="1:4" x14ac:dyDescent="0.3">
      <c r="A2094" s="1">
        <v>45747</v>
      </c>
      <c r="B2094" t="s">
        <v>17</v>
      </c>
      <c r="C2094">
        <v>971</v>
      </c>
      <c r="D2094" t="s">
        <v>20</v>
      </c>
    </row>
    <row r="2095" spans="1:4" x14ac:dyDescent="0.3">
      <c r="A2095" s="1">
        <v>45747</v>
      </c>
      <c r="B2095" t="s">
        <v>17</v>
      </c>
      <c r="C2095">
        <v>7718</v>
      </c>
      <c r="D2095" t="s">
        <v>21</v>
      </c>
    </row>
    <row r="2096" spans="1:4" x14ac:dyDescent="0.3">
      <c r="A2096" s="1">
        <v>45747</v>
      </c>
      <c r="B2096" t="s">
        <v>17</v>
      </c>
      <c r="C2096">
        <v>3153</v>
      </c>
      <c r="D2096" t="s">
        <v>22</v>
      </c>
    </row>
    <row r="2097" spans="1:4" x14ac:dyDescent="0.3">
      <c r="A2097" s="1">
        <v>45747</v>
      </c>
      <c r="B2097" t="s">
        <v>17</v>
      </c>
      <c r="C2097">
        <v>17122</v>
      </c>
      <c r="D2097" t="s">
        <v>23</v>
      </c>
    </row>
    <row r="2098" spans="1:4" x14ac:dyDescent="0.3">
      <c r="A2098" s="1">
        <v>45747</v>
      </c>
      <c r="B2098" t="s">
        <v>17</v>
      </c>
      <c r="C2098">
        <v>748</v>
      </c>
      <c r="D2098" t="s">
        <v>28</v>
      </c>
    </row>
    <row r="2099" spans="1:4" x14ac:dyDescent="0.3">
      <c r="A2099" s="1">
        <v>45747</v>
      </c>
      <c r="B2099" t="s">
        <v>17</v>
      </c>
      <c r="C2099">
        <v>6818</v>
      </c>
      <c r="D2099" t="s">
        <v>24</v>
      </c>
    </row>
    <row r="2100" spans="1:4" x14ac:dyDescent="0.3">
      <c r="A2100" s="1">
        <v>45747</v>
      </c>
      <c r="B2100" t="s">
        <v>17</v>
      </c>
      <c r="C2100">
        <v>5725</v>
      </c>
      <c r="D2100" t="s">
        <v>25</v>
      </c>
    </row>
    <row r="2101" spans="1:4" x14ac:dyDescent="0.3">
      <c r="A2101" s="1">
        <v>45747</v>
      </c>
      <c r="B2101" t="s">
        <v>17</v>
      </c>
      <c r="C2101">
        <v>4138</v>
      </c>
      <c r="D2101" t="s">
        <v>26</v>
      </c>
    </row>
    <row r="2102" spans="1:4" x14ac:dyDescent="0.3">
      <c r="A2102" s="1">
        <v>45747</v>
      </c>
      <c r="B2102" t="s">
        <v>17</v>
      </c>
      <c r="C2102">
        <v>7705</v>
      </c>
      <c r="D2102" t="s">
        <v>27</v>
      </c>
    </row>
    <row r="2103" spans="1:4" x14ac:dyDescent="0.3">
      <c r="A2103" s="1">
        <v>45838</v>
      </c>
      <c r="B2103" t="s">
        <v>17</v>
      </c>
      <c r="C2103">
        <v>2657</v>
      </c>
      <c r="D2103" t="s">
        <v>18</v>
      </c>
    </row>
    <row r="2104" spans="1:4" x14ac:dyDescent="0.3">
      <c r="A2104" s="1">
        <v>45838</v>
      </c>
      <c r="B2104" t="s">
        <v>17</v>
      </c>
      <c r="C2104">
        <v>2063</v>
      </c>
      <c r="D2104" t="s">
        <v>19</v>
      </c>
    </row>
    <row r="2105" spans="1:4" x14ac:dyDescent="0.3">
      <c r="A2105" s="1">
        <v>45838</v>
      </c>
      <c r="B2105" t="s">
        <v>17</v>
      </c>
      <c r="C2105">
        <v>993</v>
      </c>
      <c r="D2105" t="s">
        <v>20</v>
      </c>
    </row>
    <row r="2106" spans="1:4" x14ac:dyDescent="0.3">
      <c r="A2106" s="1">
        <v>45838</v>
      </c>
      <c r="B2106" t="s">
        <v>17</v>
      </c>
      <c r="C2106">
        <v>7867</v>
      </c>
      <c r="D2106" t="s">
        <v>21</v>
      </c>
    </row>
    <row r="2107" spans="1:4" x14ac:dyDescent="0.3">
      <c r="A2107" s="1">
        <v>45838</v>
      </c>
      <c r="B2107" t="s">
        <v>17</v>
      </c>
      <c r="C2107">
        <v>3186</v>
      </c>
      <c r="D2107" t="s">
        <v>22</v>
      </c>
    </row>
    <row r="2108" spans="1:4" x14ac:dyDescent="0.3">
      <c r="A2108" s="1">
        <v>45838</v>
      </c>
      <c r="B2108" t="s">
        <v>17</v>
      </c>
      <c r="C2108">
        <v>17332</v>
      </c>
      <c r="D2108" t="s">
        <v>23</v>
      </c>
    </row>
    <row r="2109" spans="1:4" x14ac:dyDescent="0.3">
      <c r="A2109" s="1">
        <v>45838</v>
      </c>
      <c r="B2109" t="s">
        <v>17</v>
      </c>
      <c r="C2109">
        <v>758</v>
      </c>
      <c r="D2109" t="s">
        <v>28</v>
      </c>
    </row>
    <row r="2110" spans="1:4" x14ac:dyDescent="0.3">
      <c r="A2110" s="1">
        <v>45838</v>
      </c>
      <c r="B2110" t="s">
        <v>17</v>
      </c>
      <c r="C2110">
        <v>6898</v>
      </c>
      <c r="D2110" t="s">
        <v>24</v>
      </c>
    </row>
    <row r="2111" spans="1:4" x14ac:dyDescent="0.3">
      <c r="A2111" s="1">
        <v>45838</v>
      </c>
      <c r="B2111" t="s">
        <v>17</v>
      </c>
      <c r="C2111">
        <v>5899</v>
      </c>
      <c r="D2111" t="s">
        <v>25</v>
      </c>
    </row>
    <row r="2112" spans="1:4" x14ac:dyDescent="0.3">
      <c r="A2112" s="1">
        <v>45838</v>
      </c>
      <c r="B2112" t="s">
        <v>17</v>
      </c>
      <c r="C2112">
        <v>3982</v>
      </c>
      <c r="D2112" t="s">
        <v>26</v>
      </c>
    </row>
    <row r="2113" spans="1:4" x14ac:dyDescent="0.3">
      <c r="A2113" s="1">
        <v>45838</v>
      </c>
      <c r="B2113" t="s">
        <v>17</v>
      </c>
      <c r="C2113">
        <v>7657</v>
      </c>
      <c r="D21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Budget_Constraint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Hogan</cp:lastModifiedBy>
  <dcterms:created xsi:type="dcterms:W3CDTF">2025-10-12T01:34:31Z</dcterms:created>
  <dcterms:modified xsi:type="dcterms:W3CDTF">2025-10-12T07:19:40Z</dcterms:modified>
</cp:coreProperties>
</file>